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macrosheets/sheet1.xml" ContentType="application/vnd.ms-excel.macro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acer\Desktop\"/>
    </mc:Choice>
  </mc:AlternateContent>
  <xr:revisionPtr revIDLastSave="0" documentId="8_{BF0A00FD-10EA-41F4-A8D8-4DCD7EE53712}" xr6:coauthVersionLast="36" xr6:coauthVersionMax="36" xr10:uidLastSave="{00000000-0000-0000-0000-000000000000}"/>
  <bookViews>
    <workbookView xWindow="0" yWindow="0" windowWidth="23040" windowHeight="9060" activeTab="6" xr2:uid="{9F7F4156-C56F-4BFC-9453-D9BA03163A65}"/>
  </bookViews>
  <sheets>
    <sheet name="README" sheetId="1" r:id="rId1"/>
    <sheet name="Raw_Data" sheetId="2" r:id="rId2"/>
    <sheet name="Clean_Data" sheetId="3" r:id="rId3"/>
    <sheet name="Calculations" sheetId="4" r:id="rId4"/>
    <sheet name="Pivot_Analysis" sheetId="5" r:id="rId5"/>
    <sheet name="Macro1" sheetId="7" r:id="rId6"/>
    <sheet name="Dashboard" sheetId="6" r:id="rId7"/>
  </sheets>
  <definedNames>
    <definedName name="ExternalData_1" localSheetId="2" hidden="1">Clean_Data!$A$1:$Q$31</definedName>
    <definedName name="Slicer_Category">#N/A</definedName>
    <definedName name="Slicer_Region">#N/A</definedName>
    <definedName name="Slicer_YearMonth">#N/A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4" l="1"/>
  <c r="B4" i="4"/>
  <c r="B3" i="4"/>
  <c r="B2" i="4"/>
  <c r="A5" i="6" s="1"/>
  <c r="B6"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E2A8113-5431-46AB-BCFF-E176BB8EC25A}" keepAlive="1" name="Query - qrySalesRaw" description="Connection to the 'qrySalesRaw' query in the workbook." type="5" refreshedVersion="6" background="1" saveData="1">
    <dbPr connection="Provider=Microsoft.Mashup.OleDb.1;Data Source=$Workbook$;Location=qrySalesRaw;Extended Properties=&quot;&quot;" command="SELECT * FROM [qrySalesRaw]"/>
  </connection>
</connections>
</file>

<file path=xl/sharedStrings.xml><?xml version="1.0" encoding="utf-8"?>
<sst xmlns="http://schemas.openxmlformats.org/spreadsheetml/2006/main" count="570" uniqueCount="171">
  <si>
    <t>Date</t>
  </si>
  <si>
    <t>Order ID</t>
  </si>
  <si>
    <t>Customer Name</t>
  </si>
  <si>
    <t>Product</t>
  </si>
  <si>
    <t>Category</t>
  </si>
  <si>
    <t>Region</t>
  </si>
  <si>
    <t>Quantity</t>
  </si>
  <si>
    <t>Unit Price</t>
  </si>
  <si>
    <t>Discount</t>
  </si>
  <si>
    <t>Cost Price</t>
  </si>
  <si>
    <t>Sales</t>
  </si>
  <si>
    <t>Profit</t>
  </si>
  <si>
    <t>ORD-1001</t>
  </si>
  <si>
    <t>Rahul Sharma</t>
  </si>
  <si>
    <t>Laptop</t>
  </si>
  <si>
    <t>Electronics</t>
  </si>
  <si>
    <t>North</t>
  </si>
  <si>
    <t>ORD-1002</t>
  </si>
  <si>
    <t>Priya Singh</t>
  </si>
  <si>
    <t>Mouse</t>
  </si>
  <si>
    <t>South</t>
  </si>
  <si>
    <t>ORD-1003</t>
  </si>
  <si>
    <t>Amit Patel</t>
  </si>
  <si>
    <t>Office Chair</t>
  </si>
  <si>
    <t>Furniture</t>
  </si>
  <si>
    <t>East</t>
  </si>
  <si>
    <t>ORD-1004</t>
  </si>
  <si>
    <t>Neha Gupta</t>
  </si>
  <si>
    <t>T-Shirt</t>
  </si>
  <si>
    <t>Clothing</t>
  </si>
  <si>
    <t>West</t>
  </si>
  <si>
    <t>ORD-1005</t>
  </si>
  <si>
    <t>Vikram Rao</t>
  </si>
  <si>
    <t>Notebook</t>
  </si>
  <si>
    <t>Stationery</t>
  </si>
  <si>
    <t>ORD-1006</t>
  </si>
  <si>
    <t>Sneha Iyer</t>
  </si>
  <si>
    <t>Keyboard</t>
  </si>
  <si>
    <t>ORD-1007</t>
  </si>
  <si>
    <t>Arjun Mehta</t>
  </si>
  <si>
    <t>Desk</t>
  </si>
  <si>
    <t>ORD-1008</t>
  </si>
  <si>
    <t>Kavya Nair</t>
  </si>
  <si>
    <t>Jeans</t>
  </si>
  <si>
    <t>ORD-1009</t>
  </si>
  <si>
    <t>Rohan Desai</t>
  </si>
  <si>
    <t>Monitor</t>
  </si>
  <si>
    <t>ORD-1010</t>
  </si>
  <si>
    <t>Anjali Joshi</t>
  </si>
  <si>
    <t>Pen Set</t>
  </si>
  <si>
    <t>ORD-1011</t>
  </si>
  <si>
    <t>Headphones</t>
  </si>
  <si>
    <t>ORD-1012</t>
  </si>
  <si>
    <t>Bookshelf</t>
  </si>
  <si>
    <t>ORD-1013</t>
  </si>
  <si>
    <t>Jacket</t>
  </si>
  <si>
    <t>ORD-1014</t>
  </si>
  <si>
    <t>Backpack</t>
  </si>
  <si>
    <t>ORD-1015</t>
  </si>
  <si>
    <t>ORD-1016</t>
  </si>
  <si>
    <t>ORD-1017</t>
  </si>
  <si>
    <t>ORD-1018</t>
  </si>
  <si>
    <t>ORD-1019</t>
  </si>
  <si>
    <t>ORD-1020</t>
  </si>
  <si>
    <t>ORD-1021</t>
  </si>
  <si>
    <t>ORD-1022</t>
  </si>
  <si>
    <t>ORD-1023</t>
  </si>
  <si>
    <t>ORD-1024</t>
  </si>
  <si>
    <t>ORD-1025</t>
  </si>
  <si>
    <t>ORD-1026</t>
  </si>
  <si>
    <t>ORD-1027</t>
  </si>
  <si>
    <t>ORD-1028</t>
  </si>
  <si>
    <t>ORD-1029</t>
  </si>
  <si>
    <t>ORD-1030</t>
  </si>
  <si>
    <t>01/14/2026</t>
  </si>
  <si>
    <t>01/15/2026</t>
  </si>
  <si>
    <t>01/17/2026</t>
  </si>
  <si>
    <t>01/19/2026</t>
  </si>
  <si>
    <t>01/21/2026</t>
  </si>
  <si>
    <t>01/23/2026</t>
  </si>
  <si>
    <t>01/25/2026</t>
  </si>
  <si>
    <t>01/27/2026</t>
  </si>
  <si>
    <t>02/14/2026</t>
  </si>
  <si>
    <t>02/16/2026</t>
  </si>
  <si>
    <t>02/18/2026</t>
  </si>
  <si>
    <t>02/20/2026</t>
  </si>
  <si>
    <t>02/22/2026</t>
  </si>
  <si>
    <t>02/24/2026</t>
  </si>
  <si>
    <t>KPI Calculations</t>
  </si>
  <si>
    <t>Total Sales</t>
  </si>
  <si>
    <t>Total Profit</t>
  </si>
  <si>
    <t>Total Orders</t>
  </si>
  <si>
    <t>Total Quantity Sold</t>
  </si>
  <si>
    <t>Average Order Value</t>
  </si>
  <si>
    <t>Pivot Analysis</t>
  </si>
  <si>
    <t>Grand Total</t>
  </si>
  <si>
    <t>Sum of Sales</t>
  </si>
  <si>
    <t>Sum of Profit</t>
  </si>
  <si>
    <t>Formula1</t>
  </si>
  <si>
    <t>Year</t>
  </si>
  <si>
    <t>MonthNum</t>
  </si>
  <si>
    <t>Month</t>
  </si>
  <si>
    <t>Quarter</t>
  </si>
  <si>
    <t>YearMonth</t>
  </si>
  <si>
    <t>March</t>
  </si>
  <si>
    <t>Q1</t>
  </si>
  <si>
    <t>2026-03</t>
  </si>
  <si>
    <t>April</t>
  </si>
  <si>
    <t>Q2</t>
  </si>
  <si>
    <t>2026-04</t>
  </si>
  <si>
    <t>May</t>
  </si>
  <si>
    <t>2026-05</t>
  </si>
  <si>
    <t>June</t>
  </si>
  <si>
    <t>2026-06</t>
  </si>
  <si>
    <t>August</t>
  </si>
  <si>
    <t>Q3</t>
  </si>
  <si>
    <t>2026-08</t>
  </si>
  <si>
    <t>October</t>
  </si>
  <si>
    <t>Q4</t>
  </si>
  <si>
    <t>2026-10</t>
  </si>
  <si>
    <t>December</t>
  </si>
  <si>
    <t>2026-12</t>
  </si>
  <si>
    <t>January</t>
  </si>
  <si>
    <t>2026-01</t>
  </si>
  <si>
    <t>February</t>
  </si>
  <si>
    <t>2026-02</t>
  </si>
  <si>
    <t>SALES PERFORMANCE DASHBOARD</t>
  </si>
  <si>
    <t>Interactive Sales &amp; Profit Analysis</t>
  </si>
  <si>
    <t>TOTAL SALES</t>
  </si>
  <si>
    <t>TOTAL PROFIT</t>
  </si>
  <si>
    <t>TOTAL ORDERS</t>
  </si>
  <si>
    <t>QUANTITY SOLD</t>
  </si>
  <si>
    <t>AVG ORDER VALUE</t>
  </si>
  <si>
    <t xml:space="preserve"> Sales</t>
  </si>
  <si>
    <t xml:space="preserve"> Profit</t>
  </si>
  <si>
    <t xml:space="preserve"> Quantity</t>
  </si>
  <si>
    <t>SALES AUTOMATION &amp; DASHBOARD</t>
  </si>
  <si>
    <t>Automated Excel Sales Analysis Dashboard</t>
  </si>
  <si>
    <t>PROJECT OVERVIEW</t>
  </si>
  <si>
    <t>This project is an automated Excel sales dashboard designed to transform raw sales data into interactive business insights.</t>
  </si>
  <si>
    <t>HOW TO USE</t>
  </si>
  <si>
    <t>1. Paste new sales data into the tblSales table on the Raw_Data sheet.</t>
  </si>
  <si>
    <t>2. Keep the existing column headers unchanged.</t>
  </si>
  <si>
    <t>3. Click the "REFRESH DASHBOARD" button on the Dashboard sheet.</t>
  </si>
  <si>
    <t>4. Power Query cleans and transforms the data automatically.</t>
  </si>
  <si>
    <t>5. KPIs, PivotTables, Charts and Slicers update automatically.</t>
  </si>
  <si>
    <t>DASHBOARD FEATURES</t>
  </si>
  <si>
    <t>• Total Sales</t>
  </si>
  <si>
    <t>• Total Profit</t>
  </si>
  <si>
    <t>• Total Orders</t>
  </si>
  <si>
    <t>• Quantity Sold</t>
  </si>
  <si>
    <t>• Average Order Value</t>
  </si>
  <si>
    <t>• Sales by Region</t>
  </si>
  <si>
    <t>• Profit by Region</t>
  </si>
  <si>
    <t>• Sales by Category</t>
  </si>
  <si>
    <t>• Profit by Category</t>
  </si>
  <si>
    <t>• Sales by Product</t>
  </si>
  <si>
    <t>• Quantity Sold by Product</t>
  </si>
  <si>
    <t>• Monthly Sales Trend</t>
  </si>
  <si>
    <t>• Monthly Profit Trend</t>
  </si>
  <si>
    <t>• Interactive Region, Category and YearMonth Slicers</t>
  </si>
  <si>
    <t>TECHNOLOGIES USED</t>
  </si>
  <si>
    <t>• Microsoft Excel 2019</t>
  </si>
  <si>
    <t>• Power Query</t>
  </si>
  <si>
    <t>• PivotTables</t>
  </si>
  <si>
    <t>• PivotCharts</t>
  </si>
  <si>
    <t>• Slicers</t>
  </si>
  <si>
    <t>• VBA Automation</t>
  </si>
  <si>
    <t>IMPORTANT</t>
  </si>
  <si>
    <t>Do not change the column headers or table structure of tblSales.</t>
  </si>
  <si>
    <t>Save the workbook as .xlsm to keep VBA automation working.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</si>
</sst>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 #,##0;[Red]&quot;₹&quot;\ \-#,##0"/>
    <numFmt numFmtId="8" formatCode="&quot;₹&quot;\ #,##0.00;[Red]&quot;₹&quot;\ \-#,##0.00"/>
    <numFmt numFmtId="164" formatCode="&quot;₹&quot;\ #,##0.00"/>
    <numFmt numFmtId="165" formatCode="&quot;₹&quot;\ #,##0"/>
  </numFmts>
  <fonts count="9" x14ac:knownFonts="1">
    <font>
      <sz val="11"/>
      <color theme="1"/>
      <name val="Calibri"/>
      <family val="2"/>
      <scheme val="minor"/>
    </font>
    <font>
      <b/>
      <sz val="11"/>
      <color theme="1"/>
      <name val="Calibri"/>
      <family val="2"/>
      <scheme val="minor"/>
    </font>
    <font>
      <b/>
      <sz val="18"/>
      <color theme="1"/>
      <name val="Calibri"/>
      <family val="2"/>
      <scheme val="minor"/>
    </font>
    <font>
      <b/>
      <sz val="36"/>
      <color theme="1"/>
      <name val="Calibri"/>
      <family val="2"/>
      <scheme val="minor"/>
    </font>
    <font>
      <b/>
      <sz val="12"/>
      <color theme="1"/>
      <name val="Calibri"/>
      <family val="2"/>
      <scheme val="minor"/>
    </font>
    <font>
      <sz val="11"/>
      <color rgb="FF000000"/>
      <name val="Calibri"/>
      <family val="2"/>
    </font>
    <font>
      <b/>
      <sz val="11"/>
      <color theme="0"/>
      <name val="Calibri"/>
      <family val="2"/>
      <scheme val="minor"/>
    </font>
    <font>
      <b/>
      <i/>
      <sz val="18"/>
      <color theme="1"/>
      <name val="Calibri"/>
      <family val="2"/>
      <scheme val="minor"/>
    </font>
    <font>
      <b/>
      <i/>
      <u/>
      <sz val="18"/>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rgb="FF00B0F0"/>
        <bgColor indexed="64"/>
      </patternFill>
    </fill>
    <fill>
      <patternFill patternType="solid">
        <fgColor theme="7"/>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47">
    <xf numFmtId="0" fontId="0" fillId="0" borderId="0" xfId="0"/>
    <xf numFmtId="9" fontId="0" fillId="0" borderId="0" xfId="0" applyNumberFormat="1"/>
    <xf numFmtId="164" fontId="0" fillId="0" borderId="0" xfId="0" applyNumberFormat="1"/>
    <xf numFmtId="165" fontId="0" fillId="0" borderId="0" xfId="0" applyNumberFormat="1"/>
    <xf numFmtId="10" fontId="0" fillId="0" borderId="0" xfId="0" applyNumberFormat="1"/>
    <xf numFmtId="0" fontId="0" fillId="0" borderId="0" xfId="0" applyAlignment="1">
      <alignment horizontal="left"/>
    </xf>
    <xf numFmtId="14" fontId="0" fillId="0" borderId="0" xfId="0" applyNumberFormat="1" applyAlignment="1">
      <alignment horizontal="left"/>
    </xf>
    <xf numFmtId="0" fontId="1" fillId="0" borderId="0" xfId="0" applyFont="1"/>
    <xf numFmtId="0" fontId="0" fillId="0" borderId="0" xfId="0" pivotButton="1"/>
    <xf numFmtId="0" fontId="0" fillId="0" borderId="0" xfId="0" applyNumberFormat="1"/>
    <xf numFmtId="0" fontId="0" fillId="0" borderId="0" xfId="0" applyAlignment="1"/>
    <xf numFmtId="0" fontId="3" fillId="2" borderId="1" xfId="0" applyFont="1" applyFill="1" applyBorder="1" applyAlignment="1">
      <alignment horizontal="center" vertical="center"/>
    </xf>
    <xf numFmtId="0" fontId="6" fillId="3" borderId="2" xfId="0" applyFont="1" applyFill="1" applyBorder="1" applyAlignment="1">
      <alignment horizontal="center"/>
    </xf>
    <xf numFmtId="0" fontId="6" fillId="3" borderId="3" xfId="0" applyFont="1" applyFill="1" applyBorder="1" applyAlignment="1">
      <alignment horizontal="center"/>
    </xf>
    <xf numFmtId="0" fontId="6" fillId="3" borderId="4" xfId="0" applyFont="1" applyFill="1" applyBorder="1" applyAlignment="1">
      <alignment horizontal="center"/>
    </xf>
    <xf numFmtId="1" fontId="2" fillId="4" borderId="5" xfId="0" applyNumberFormat="1" applyFont="1" applyFill="1" applyBorder="1" applyAlignment="1">
      <alignment horizontal="center"/>
    </xf>
    <xf numFmtId="1" fontId="2" fillId="4" borderId="6" xfId="0" applyNumberFormat="1" applyFont="1" applyFill="1" applyBorder="1" applyAlignment="1">
      <alignment horizontal="center"/>
    </xf>
    <xf numFmtId="1" fontId="2" fillId="4" borderId="7" xfId="0" applyNumberFormat="1" applyFont="1" applyFill="1" applyBorder="1" applyAlignment="1">
      <alignment horizontal="center"/>
    </xf>
    <xf numFmtId="6" fontId="2" fillId="4" borderId="5" xfId="0" applyNumberFormat="1" applyFont="1" applyFill="1" applyBorder="1" applyAlignment="1">
      <alignment horizontal="center"/>
    </xf>
    <xf numFmtId="6" fontId="2" fillId="4" borderId="6" xfId="0" applyNumberFormat="1" applyFont="1" applyFill="1" applyBorder="1" applyAlignment="1">
      <alignment horizontal="center"/>
    </xf>
    <xf numFmtId="6" fontId="2" fillId="4" borderId="7" xfId="0" applyNumberFormat="1" applyFont="1" applyFill="1" applyBorder="1" applyAlignment="1">
      <alignment horizontal="center"/>
    </xf>
    <xf numFmtId="1" fontId="2" fillId="4" borderId="8" xfId="0" applyNumberFormat="1" applyFont="1" applyFill="1" applyBorder="1" applyAlignment="1">
      <alignment horizontal="center"/>
    </xf>
    <xf numFmtId="1" fontId="2" fillId="4" borderId="9" xfId="0" applyNumberFormat="1" applyFont="1" applyFill="1" applyBorder="1" applyAlignment="1">
      <alignment horizontal="center"/>
    </xf>
    <xf numFmtId="1" fontId="2" fillId="4" borderId="10" xfId="0" applyNumberFormat="1" applyFont="1" applyFill="1" applyBorder="1" applyAlignment="1">
      <alignment horizontal="center"/>
    </xf>
    <xf numFmtId="6" fontId="2" fillId="4" borderId="8" xfId="0" applyNumberFormat="1" applyFont="1" applyFill="1" applyBorder="1" applyAlignment="1">
      <alignment horizontal="center"/>
    </xf>
    <xf numFmtId="6" fontId="2" fillId="4" borderId="9" xfId="0" applyNumberFormat="1" applyFont="1" applyFill="1" applyBorder="1" applyAlignment="1">
      <alignment horizontal="center"/>
    </xf>
    <xf numFmtId="6" fontId="2" fillId="4" borderId="10" xfId="0" applyNumberFormat="1" applyFont="1" applyFill="1" applyBorder="1" applyAlignment="1">
      <alignment horizontal="center"/>
    </xf>
    <xf numFmtId="164" fontId="2" fillId="4" borderId="5" xfId="0" applyNumberFormat="1" applyFont="1" applyFill="1" applyBorder="1" applyAlignment="1">
      <alignment horizontal="center"/>
    </xf>
    <xf numFmtId="164" fontId="2" fillId="4" borderId="6" xfId="0" applyNumberFormat="1" applyFont="1" applyFill="1" applyBorder="1" applyAlignment="1">
      <alignment horizontal="center"/>
    </xf>
    <xf numFmtId="164" fontId="2" fillId="4" borderId="7" xfId="0" applyNumberFormat="1" applyFont="1" applyFill="1" applyBorder="1" applyAlignment="1">
      <alignment horizontal="center"/>
    </xf>
    <xf numFmtId="164" fontId="2" fillId="4" borderId="8" xfId="0" applyNumberFormat="1" applyFont="1" applyFill="1" applyBorder="1" applyAlignment="1">
      <alignment horizontal="center"/>
    </xf>
    <xf numFmtId="164" fontId="2" fillId="4" borderId="9" xfId="0" applyNumberFormat="1" applyFont="1" applyFill="1" applyBorder="1" applyAlignment="1">
      <alignment horizontal="center"/>
    </xf>
    <xf numFmtId="164" fontId="2" fillId="4" borderId="10" xfId="0" applyNumberFormat="1" applyFont="1" applyFill="1" applyBorder="1" applyAlignment="1">
      <alignment horizontal="center"/>
    </xf>
    <xf numFmtId="8" fontId="2" fillId="4" borderId="5" xfId="0" applyNumberFormat="1" applyFont="1" applyFill="1" applyBorder="1" applyAlignment="1">
      <alignment horizontal="center"/>
    </xf>
    <xf numFmtId="8" fontId="2" fillId="4" borderId="6" xfId="0" applyNumberFormat="1" applyFont="1" applyFill="1" applyBorder="1" applyAlignment="1">
      <alignment horizontal="center"/>
    </xf>
    <xf numFmtId="8" fontId="2" fillId="4" borderId="7" xfId="0" applyNumberFormat="1" applyFont="1" applyFill="1" applyBorder="1" applyAlignment="1">
      <alignment horizontal="center"/>
    </xf>
    <xf numFmtId="8" fontId="2" fillId="4" borderId="8" xfId="0" applyNumberFormat="1" applyFont="1" applyFill="1" applyBorder="1" applyAlignment="1">
      <alignment horizontal="center"/>
    </xf>
    <xf numFmtId="8" fontId="2" fillId="4" borderId="9" xfId="0" applyNumberFormat="1" applyFont="1" applyFill="1" applyBorder="1" applyAlignment="1">
      <alignment horizontal="center"/>
    </xf>
    <xf numFmtId="8" fontId="2" fillId="4" borderId="10" xfId="0" applyNumberFormat="1" applyFont="1" applyFill="1" applyBorder="1" applyAlignment="1">
      <alignment horizontal="center"/>
    </xf>
    <xf numFmtId="0" fontId="7" fillId="5" borderId="1" xfId="0" applyFont="1" applyFill="1" applyBorder="1" applyAlignment="1">
      <alignment horizontal="center" vertical="center"/>
    </xf>
    <xf numFmtId="0" fontId="1" fillId="5" borderId="1" xfId="0" applyFont="1" applyFill="1" applyBorder="1" applyAlignment="1">
      <alignment horizontal="center" vertical="center"/>
    </xf>
    <xf numFmtId="0" fontId="4" fillId="0" borderId="0" xfId="0" applyFont="1"/>
    <xf numFmtId="0" fontId="8" fillId="0" borderId="0" xfId="0" applyFont="1" applyAlignment="1">
      <alignment horizontal="center"/>
    </xf>
    <xf numFmtId="0" fontId="1" fillId="0" borderId="1" xfId="0" applyFont="1" applyBorder="1"/>
    <xf numFmtId="164" fontId="0" fillId="0" borderId="1" xfId="0" applyNumberFormat="1" applyBorder="1"/>
    <xf numFmtId="1" fontId="0" fillId="0" borderId="1" xfId="0" applyNumberFormat="1" applyBorder="1"/>
    <xf numFmtId="0" fontId="0" fillId="0" borderId="1" xfId="0" applyBorder="1"/>
  </cellXfs>
  <cellStyles count="1">
    <cellStyle name="Normal" xfId="0" builtinId="0"/>
  </cellStyles>
  <dxfs count="6">
    <dxf>
      <numFmt numFmtId="165" formatCode="&quot;₹&quot;\ #,##0"/>
    </dxf>
    <dxf>
      <numFmt numFmtId="165" formatCode="&quot;₹&quot;\ #,##0"/>
    </dxf>
    <dxf>
      <numFmt numFmtId="165" formatCode="&quot;₹&quot;\ #,##0"/>
    </dxf>
    <dxf>
      <numFmt numFmtId="13" formatCode="0%"/>
    </dxf>
    <dxf>
      <numFmt numFmtId="165" formatCode="&quot;₹&quot;\ #,##0"/>
    </dxf>
    <dxf>
      <numFmt numFmtId="19" formatCode="dd/mm/yyyy"/>
      <alignment horizontal="left" vertical="bottom" textRotation="0" wrapText="0" indent="0" justifyLastLine="0" shrinkToFit="0" readingOrder="0"/>
    </dxf>
  </dxfs>
  <tableStyles count="0" defaultTableStyle="TableStyleMedium2" defaultPivotStyle="PivotStyleLight16"/>
  <colors>
    <mruColors>
      <color rgb="FFFC99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6/relationships/xlMacrosheet" Target="macrosheets/sheet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[Sales_Automation_Dashboard.xlsm]Pivot_Analysis!ptSalesByRegion</c:name>
    <c:fmtId val="6"/>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i="1" u="sng">
                <a:solidFill>
                  <a:sysClr val="windowText" lastClr="000000"/>
                </a:solidFill>
              </a:rPr>
              <a:t>SALES</a:t>
            </a:r>
            <a:r>
              <a:rPr lang="en-US" sz="1800" b="1" i="1" u="sng" baseline="0">
                <a:solidFill>
                  <a:sysClr val="windowText" lastClr="000000"/>
                </a:solidFill>
              </a:rPr>
              <a:t> by REGION</a:t>
            </a:r>
            <a:endParaRPr lang="en-US" sz="1800" b="1" i="1" u="sng">
              <a:solidFill>
                <a:sysClr val="windowText" lastClr="000000"/>
              </a:solidFill>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5">
                  <a:shade val="30000"/>
                  <a:satMod val="115000"/>
                </a:schemeClr>
              </a:gs>
              <a:gs pos="50000">
                <a:schemeClr val="accent5">
                  <a:shade val="67500"/>
                  <a:satMod val="115000"/>
                </a:schemeClr>
              </a:gs>
              <a:gs pos="100000">
                <a:schemeClr val="accent5">
                  <a:shade val="100000"/>
                  <a:satMod val="115000"/>
                </a:schemeClr>
              </a:gs>
            </a:gsLst>
            <a:path path="circle">
              <a:fillToRect l="50000" t="50000" r="50000" b="50000"/>
            </a:path>
            <a:tileRect/>
          </a:gradFill>
          <a:ln>
            <a:solidFill>
              <a:srgbClr val="00B0F0"/>
            </a:solid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5">
                  <a:shade val="30000"/>
                  <a:satMod val="115000"/>
                </a:schemeClr>
              </a:gs>
              <a:gs pos="50000">
                <a:schemeClr val="accent5">
                  <a:shade val="67500"/>
                  <a:satMod val="115000"/>
                </a:schemeClr>
              </a:gs>
              <a:gs pos="100000">
                <a:schemeClr val="accent5">
                  <a:shade val="100000"/>
                  <a:satMod val="115000"/>
                </a:schemeClr>
              </a:gs>
            </a:gsLst>
            <a:path path="circle">
              <a:fillToRect l="50000" t="50000" r="50000" b="50000"/>
            </a:path>
            <a:tileRect/>
          </a:gra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Pivot_Analysis!$B$4</c:f>
              <c:strCache>
                <c:ptCount val="1"/>
                <c:pt idx="0">
                  <c:v>Total</c:v>
                </c:pt>
              </c:strCache>
            </c:strRef>
          </c:tx>
          <c:spPr>
            <a:gradFill flip="none" rotWithShape="1">
              <a:gsLst>
                <a:gs pos="0">
                  <a:schemeClr val="accent5">
                    <a:shade val="30000"/>
                    <a:satMod val="115000"/>
                  </a:schemeClr>
                </a:gs>
                <a:gs pos="50000">
                  <a:schemeClr val="accent5">
                    <a:shade val="67500"/>
                    <a:satMod val="115000"/>
                  </a:schemeClr>
                </a:gs>
                <a:gs pos="100000">
                  <a:schemeClr val="accent5">
                    <a:shade val="100000"/>
                    <a:satMod val="115000"/>
                  </a:schemeClr>
                </a:gs>
              </a:gsLst>
              <a:path path="circle">
                <a:fillToRect l="50000" t="50000" r="50000" b="50000"/>
              </a:path>
              <a:tileRect/>
            </a:gradFill>
            <a:ln>
              <a:solidFill>
                <a:srgbClr val="00B0F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Pivot_Analysis!$A$5:$A$9</c:f>
              <c:strCache>
                <c:ptCount val="4"/>
                <c:pt idx="0">
                  <c:v>East</c:v>
                </c:pt>
                <c:pt idx="1">
                  <c:v>North</c:v>
                </c:pt>
                <c:pt idx="2">
                  <c:v>South</c:v>
                </c:pt>
                <c:pt idx="3">
                  <c:v>West</c:v>
                </c:pt>
              </c:strCache>
            </c:strRef>
          </c:cat>
          <c:val>
            <c:numRef>
              <c:f>Pivot_Analysis!$B$5:$B$9</c:f>
              <c:numCache>
                <c:formatCode>General</c:formatCode>
                <c:ptCount val="4"/>
                <c:pt idx="0">
                  <c:v>2979.5</c:v>
                </c:pt>
                <c:pt idx="1">
                  <c:v>6314</c:v>
                </c:pt>
                <c:pt idx="2">
                  <c:v>1547.75</c:v>
                </c:pt>
                <c:pt idx="3">
                  <c:v>1519</c:v>
                </c:pt>
              </c:numCache>
            </c:numRef>
          </c:val>
          <c:extLst>
            <c:ext xmlns:c16="http://schemas.microsoft.com/office/drawing/2014/chart" uri="{C3380CC4-5D6E-409C-BE32-E72D297353CC}">
              <c16:uniqueId val="{00000000-CDDC-4368-9B61-0381C308F67D}"/>
            </c:ext>
          </c:extLst>
        </c:ser>
        <c:dLbls>
          <c:dLblPos val="outEnd"/>
          <c:showLegendKey val="0"/>
          <c:showVal val="1"/>
          <c:showCatName val="0"/>
          <c:showSerName val="0"/>
          <c:showPercent val="0"/>
          <c:showBubbleSize val="0"/>
        </c:dLbls>
        <c:gapWidth val="219"/>
        <c:overlap val="-27"/>
        <c:axId val="831338328"/>
        <c:axId val="831335376"/>
      </c:barChart>
      <c:catAx>
        <c:axId val="831338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831335376"/>
        <c:crosses val="autoZero"/>
        <c:auto val="1"/>
        <c:lblAlgn val="ctr"/>
        <c:lblOffset val="100"/>
        <c:noMultiLvlLbl val="0"/>
      </c:catAx>
      <c:valAx>
        <c:axId val="831335376"/>
        <c:scaling>
          <c:orientation val="minMax"/>
        </c:scaling>
        <c:delete val="0"/>
        <c:axPos val="l"/>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831338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[Sales_Automation_Dashboard.xlsm]Pivot_Analysis!ptProfitByRegion</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i="1" u="sng" strike="noStrike" baseline="0">
                <a:solidFill>
                  <a:sysClr val="windowText" lastClr="000000"/>
                </a:solidFill>
              </a:rPr>
              <a:t>Profit by Region</a:t>
            </a:r>
            <a:endParaRPr lang="en-US" sz="1800" b="1" i="1" u="sng">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Pivot_Analysis!$E$4</c:f>
              <c:strCache>
                <c:ptCount val="1"/>
                <c:pt idx="0">
                  <c:v>Total</c:v>
                </c:pt>
              </c:strCache>
            </c:strRef>
          </c:tx>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Pivot_Analysis!$D$5:$D$9</c:f>
              <c:strCache>
                <c:ptCount val="4"/>
                <c:pt idx="0">
                  <c:v>East</c:v>
                </c:pt>
                <c:pt idx="1">
                  <c:v>North</c:v>
                </c:pt>
                <c:pt idx="2">
                  <c:v>South</c:v>
                </c:pt>
                <c:pt idx="3">
                  <c:v>West</c:v>
                </c:pt>
              </c:strCache>
            </c:strRef>
          </c:cat>
          <c:val>
            <c:numRef>
              <c:f>Pivot_Analysis!$E$5:$E$9</c:f>
              <c:numCache>
                <c:formatCode>General</c:formatCode>
                <c:ptCount val="4"/>
                <c:pt idx="0">
                  <c:v>962</c:v>
                </c:pt>
                <c:pt idx="1">
                  <c:v>1669</c:v>
                </c:pt>
                <c:pt idx="2">
                  <c:v>635.75</c:v>
                </c:pt>
                <c:pt idx="3">
                  <c:v>599</c:v>
                </c:pt>
              </c:numCache>
            </c:numRef>
          </c:val>
          <c:extLst>
            <c:ext xmlns:c16="http://schemas.microsoft.com/office/drawing/2014/chart" uri="{C3380CC4-5D6E-409C-BE32-E72D297353CC}">
              <c16:uniqueId val="{00000000-91A2-40A5-96F3-FF54BABF1076}"/>
            </c:ext>
          </c:extLst>
        </c:ser>
        <c:dLbls>
          <c:dLblPos val="outEnd"/>
          <c:showLegendKey val="0"/>
          <c:showVal val="1"/>
          <c:showCatName val="0"/>
          <c:showSerName val="0"/>
          <c:showPercent val="0"/>
          <c:showBubbleSize val="0"/>
        </c:dLbls>
        <c:gapWidth val="219"/>
        <c:overlap val="-27"/>
        <c:axId val="826409472"/>
        <c:axId val="826411112"/>
      </c:barChart>
      <c:catAx>
        <c:axId val="82640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826411112"/>
        <c:crosses val="autoZero"/>
        <c:auto val="1"/>
        <c:lblAlgn val="ctr"/>
        <c:lblOffset val="100"/>
        <c:noMultiLvlLbl val="0"/>
      </c:catAx>
      <c:valAx>
        <c:axId val="8264111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826409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[Sales_Automation_Dashboard.xlsm]Pivot_Analysis!ptSalesByCategory</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i="1" u="sng" strike="noStrike" baseline="0">
                <a:solidFill>
                  <a:sysClr val="windowText" lastClr="000000"/>
                </a:solidFill>
              </a:rPr>
              <a:t>Sales by Category</a:t>
            </a:r>
            <a:endParaRPr lang="en-US" sz="1800" b="1" i="1" u="sng">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50000" t="50000" r="50000" b="50000"/>
            </a:path>
            <a:tileRect/>
          </a:gra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Pivot_Analysis!$B$15</c:f>
              <c:strCache>
                <c:ptCount val="1"/>
                <c:pt idx="0">
                  <c:v>Total</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50000" t="50000" r="50000" b="50000"/>
              </a:path>
              <a:tileRect/>
            </a:gradFill>
            <a:ln>
              <a:solidFill>
                <a:schemeClr val="accen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Pivot_Analysis!$A$16:$A$20</c:f>
              <c:strCache>
                <c:ptCount val="4"/>
                <c:pt idx="0">
                  <c:v>Clothing</c:v>
                </c:pt>
                <c:pt idx="1">
                  <c:v>Electronics</c:v>
                </c:pt>
                <c:pt idx="2">
                  <c:v>Furniture</c:v>
                </c:pt>
                <c:pt idx="3">
                  <c:v>Stationery</c:v>
                </c:pt>
              </c:strCache>
            </c:strRef>
          </c:cat>
          <c:val>
            <c:numRef>
              <c:f>Pivot_Analysis!$B$16:$B$20</c:f>
              <c:numCache>
                <c:formatCode>General</c:formatCode>
                <c:ptCount val="4"/>
                <c:pt idx="0">
                  <c:v>1138</c:v>
                </c:pt>
                <c:pt idx="1">
                  <c:v>7924</c:v>
                </c:pt>
                <c:pt idx="2">
                  <c:v>2148.25</c:v>
                </c:pt>
                <c:pt idx="3">
                  <c:v>1150</c:v>
                </c:pt>
              </c:numCache>
            </c:numRef>
          </c:val>
          <c:extLst>
            <c:ext xmlns:c16="http://schemas.microsoft.com/office/drawing/2014/chart" uri="{C3380CC4-5D6E-409C-BE32-E72D297353CC}">
              <c16:uniqueId val="{00000000-2B1C-45C7-8E8B-5C2CEBDE00CF}"/>
            </c:ext>
          </c:extLst>
        </c:ser>
        <c:dLbls>
          <c:dLblPos val="outEnd"/>
          <c:showLegendKey val="0"/>
          <c:showVal val="1"/>
          <c:showCatName val="0"/>
          <c:showSerName val="0"/>
          <c:showPercent val="0"/>
          <c:showBubbleSize val="0"/>
        </c:dLbls>
        <c:gapWidth val="219"/>
        <c:overlap val="-27"/>
        <c:axId val="1004673872"/>
        <c:axId val="833365128"/>
      </c:barChart>
      <c:catAx>
        <c:axId val="100467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833365128"/>
        <c:crosses val="autoZero"/>
        <c:auto val="1"/>
        <c:lblAlgn val="ctr"/>
        <c:lblOffset val="100"/>
        <c:noMultiLvlLbl val="0"/>
      </c:catAx>
      <c:valAx>
        <c:axId val="833365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004673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[Sales_Automation_Dashboard.xlsm]Pivot_Analysis!ptSalesByMonth</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i="1" u="sng" strike="noStrike" baseline="0">
                <a:solidFill>
                  <a:sysClr val="windowText" lastClr="000000"/>
                </a:solidFill>
              </a:rPr>
              <a:t>Sales Trend by Month</a:t>
            </a:r>
            <a:endParaRPr lang="en-US" sz="1800" b="1" i="1" u="sng">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6.9569553805774273E-2"/>
              <c:y val="3.65624088655585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Pivot_Analysis!$B$24</c:f>
              <c:strCache>
                <c:ptCount val="1"/>
                <c:pt idx="0">
                  <c:v>Total</c:v>
                </c:pt>
              </c:strCache>
            </c:strRef>
          </c:tx>
          <c:spPr>
            <a:ln w="28575" cap="rnd">
              <a:solidFill>
                <a:schemeClr val="accent1"/>
              </a:solidFill>
              <a:round/>
            </a:ln>
            <a:effectLst/>
          </c:spPr>
          <c:marker>
            <c:symbol val="none"/>
          </c:marker>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1-606D-4225-B023-46A01ED48381}"/>
              </c:ext>
            </c:extLst>
          </c:dPt>
          <c:dLbls>
            <c:dLbl>
              <c:idx val="1"/>
              <c:layout>
                <c:manualLayout>
                  <c:x val="-6.9569553805774273E-2"/>
                  <c:y val="3.6562408865558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06D-4225-B023-46A01ED4838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Pivot_Analysis!$A$25:$A$34</c:f>
              <c:strCache>
                <c:ptCount val="9"/>
                <c:pt idx="0">
                  <c:v>2026-01</c:v>
                </c:pt>
                <c:pt idx="1">
                  <c:v>2026-02</c:v>
                </c:pt>
                <c:pt idx="2">
                  <c:v>2026-03</c:v>
                </c:pt>
                <c:pt idx="3">
                  <c:v>2026-04</c:v>
                </c:pt>
                <c:pt idx="4">
                  <c:v>2026-05</c:v>
                </c:pt>
                <c:pt idx="5">
                  <c:v>2026-06</c:v>
                </c:pt>
                <c:pt idx="6">
                  <c:v>2026-08</c:v>
                </c:pt>
                <c:pt idx="7">
                  <c:v>2026-10</c:v>
                </c:pt>
                <c:pt idx="8">
                  <c:v>2026-12</c:v>
                </c:pt>
              </c:strCache>
            </c:strRef>
          </c:cat>
          <c:val>
            <c:numRef>
              <c:f>Pivot_Analysis!$B$25:$B$34</c:f>
              <c:numCache>
                <c:formatCode>General</c:formatCode>
                <c:ptCount val="9"/>
                <c:pt idx="0">
                  <c:v>3398</c:v>
                </c:pt>
                <c:pt idx="1">
                  <c:v>1537.75</c:v>
                </c:pt>
                <c:pt idx="2">
                  <c:v>4440</c:v>
                </c:pt>
                <c:pt idx="3">
                  <c:v>725</c:v>
                </c:pt>
                <c:pt idx="4">
                  <c:v>627.5</c:v>
                </c:pt>
                <c:pt idx="5">
                  <c:v>306</c:v>
                </c:pt>
                <c:pt idx="6">
                  <c:v>225</c:v>
                </c:pt>
                <c:pt idx="7">
                  <c:v>441</c:v>
                </c:pt>
                <c:pt idx="8">
                  <c:v>660</c:v>
                </c:pt>
              </c:numCache>
            </c:numRef>
          </c:val>
          <c:smooth val="0"/>
          <c:extLst>
            <c:ext xmlns:c16="http://schemas.microsoft.com/office/drawing/2014/chart" uri="{C3380CC4-5D6E-409C-BE32-E72D297353CC}">
              <c16:uniqueId val="{00000000-606D-4225-B023-46A01ED48381}"/>
            </c:ext>
          </c:extLst>
        </c:ser>
        <c:dLbls>
          <c:showLegendKey val="0"/>
          <c:showVal val="0"/>
          <c:showCatName val="0"/>
          <c:showSerName val="0"/>
          <c:showPercent val="0"/>
          <c:showBubbleSize val="0"/>
        </c:dLbls>
        <c:smooth val="0"/>
        <c:axId val="431620968"/>
        <c:axId val="431620640"/>
      </c:lineChart>
      <c:catAx>
        <c:axId val="431620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431620640"/>
        <c:crosses val="autoZero"/>
        <c:auto val="1"/>
        <c:lblAlgn val="ctr"/>
        <c:lblOffset val="100"/>
        <c:noMultiLvlLbl val="0"/>
      </c:catAx>
      <c:valAx>
        <c:axId val="4316206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431620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[Sales_Automation_Dashboard.xlsm]Pivot_Analysis!ptQuantityByProduct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i="1" u="sng" strike="noStrike" baseline="0">
                <a:solidFill>
                  <a:sysClr val="windowText" lastClr="000000"/>
                </a:solidFill>
              </a:rPr>
              <a:t>Quantity by Product</a:t>
            </a:r>
            <a:endParaRPr lang="en-US" sz="1800" b="1" i="1" u="sng">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C992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Pivot_Analysis!$H$24</c:f>
              <c:strCache>
                <c:ptCount val="1"/>
                <c:pt idx="0">
                  <c:v>Total</c:v>
                </c:pt>
              </c:strCache>
            </c:strRef>
          </c:tx>
          <c:spPr>
            <a:solidFill>
              <a:srgbClr val="FC992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Pivot_Analysis!$G$25:$G$40</c:f>
              <c:strCache>
                <c:ptCount val="15"/>
                <c:pt idx="0">
                  <c:v>Backpack</c:v>
                </c:pt>
                <c:pt idx="1">
                  <c:v>Bookshelf</c:v>
                </c:pt>
                <c:pt idx="2">
                  <c:v>Desk</c:v>
                </c:pt>
                <c:pt idx="3">
                  <c:v>Formula1</c:v>
                </c:pt>
                <c:pt idx="4">
                  <c:v>Headphones</c:v>
                </c:pt>
                <c:pt idx="5">
                  <c:v>Jacket</c:v>
                </c:pt>
                <c:pt idx="6">
                  <c:v>Jeans</c:v>
                </c:pt>
                <c:pt idx="7">
                  <c:v>Keyboard</c:v>
                </c:pt>
                <c:pt idx="8">
                  <c:v>Laptop</c:v>
                </c:pt>
                <c:pt idx="9">
                  <c:v>Monitor</c:v>
                </c:pt>
                <c:pt idx="10">
                  <c:v>Mouse</c:v>
                </c:pt>
                <c:pt idx="11">
                  <c:v>Notebook</c:v>
                </c:pt>
                <c:pt idx="12">
                  <c:v>Office Chair</c:v>
                </c:pt>
                <c:pt idx="13">
                  <c:v>Pen Set</c:v>
                </c:pt>
                <c:pt idx="14">
                  <c:v>T-Shirt</c:v>
                </c:pt>
              </c:strCache>
            </c:strRef>
          </c:cat>
          <c:val>
            <c:numRef>
              <c:f>Pivot_Analysis!$H$25:$H$40</c:f>
              <c:numCache>
                <c:formatCode>General</c:formatCode>
                <c:ptCount val="15"/>
                <c:pt idx="0">
                  <c:v>18</c:v>
                </c:pt>
                <c:pt idx="1">
                  <c:v>5</c:v>
                </c:pt>
                <c:pt idx="2">
                  <c:v>3</c:v>
                </c:pt>
                <c:pt idx="4">
                  <c:v>8</c:v>
                </c:pt>
                <c:pt idx="5">
                  <c:v>6</c:v>
                </c:pt>
                <c:pt idx="6">
                  <c:v>11</c:v>
                </c:pt>
                <c:pt idx="7">
                  <c:v>10</c:v>
                </c:pt>
                <c:pt idx="8">
                  <c:v>5</c:v>
                </c:pt>
                <c:pt idx="9">
                  <c:v>5</c:v>
                </c:pt>
                <c:pt idx="10">
                  <c:v>23</c:v>
                </c:pt>
                <c:pt idx="11">
                  <c:v>45</c:v>
                </c:pt>
                <c:pt idx="12">
                  <c:v>7</c:v>
                </c:pt>
                <c:pt idx="13">
                  <c:v>33</c:v>
                </c:pt>
                <c:pt idx="14">
                  <c:v>22</c:v>
                </c:pt>
              </c:numCache>
            </c:numRef>
          </c:val>
          <c:extLst>
            <c:ext xmlns:c16="http://schemas.microsoft.com/office/drawing/2014/chart" uri="{C3380CC4-5D6E-409C-BE32-E72D297353CC}">
              <c16:uniqueId val="{00000000-EEFD-46AA-9231-B75ED313A204}"/>
            </c:ext>
          </c:extLst>
        </c:ser>
        <c:dLbls>
          <c:dLblPos val="outEnd"/>
          <c:showLegendKey val="0"/>
          <c:showVal val="1"/>
          <c:showCatName val="0"/>
          <c:showSerName val="0"/>
          <c:showPercent val="0"/>
          <c:showBubbleSize val="0"/>
        </c:dLbls>
        <c:gapWidth val="182"/>
        <c:axId val="1000784792"/>
        <c:axId val="1000787088"/>
      </c:barChart>
      <c:catAx>
        <c:axId val="1000784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1000787088"/>
        <c:crosses val="autoZero"/>
        <c:auto val="1"/>
        <c:lblAlgn val="ctr"/>
        <c:lblOffset val="100"/>
        <c:noMultiLvlLbl val="0"/>
      </c:catAx>
      <c:valAx>
        <c:axId val="10007870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000784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[Sales_Automation_Dashboard.xlsm]Pivot_Analysis!ptProfitByCategory</c:name>
    <c:fmtId val="3"/>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IN" sz="1800" b="1" i="1" u="sng" strike="noStrike" baseline="0">
                <a:solidFill>
                  <a:sysClr val="windowText" lastClr="000000"/>
                </a:solidFill>
              </a:rPr>
              <a:t>Profit by Category</a:t>
            </a:r>
            <a:endParaRPr lang="en-US" sz="1800" b="1" i="1" u="sng">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Pivot_Analysis!$E$15</c:f>
              <c:strCache>
                <c:ptCount val="1"/>
                <c:pt idx="0">
                  <c:v>Total</c:v>
                </c:pt>
              </c:strCache>
            </c:strRef>
          </c:tx>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Pivot_Analysis!$D$16:$D$20</c:f>
              <c:strCache>
                <c:ptCount val="4"/>
                <c:pt idx="0">
                  <c:v>Clothing</c:v>
                </c:pt>
                <c:pt idx="1">
                  <c:v>Electronics</c:v>
                </c:pt>
                <c:pt idx="2">
                  <c:v>Furniture</c:v>
                </c:pt>
                <c:pt idx="3">
                  <c:v>Stationery</c:v>
                </c:pt>
              </c:strCache>
            </c:strRef>
          </c:cat>
          <c:val>
            <c:numRef>
              <c:f>Pivot_Analysis!$E$16:$E$20</c:f>
              <c:numCache>
                <c:formatCode>General</c:formatCode>
                <c:ptCount val="4"/>
                <c:pt idx="0">
                  <c:v>450</c:v>
                </c:pt>
                <c:pt idx="1">
                  <c:v>2169</c:v>
                </c:pt>
                <c:pt idx="2">
                  <c:v>698.25</c:v>
                </c:pt>
                <c:pt idx="3">
                  <c:v>548.5</c:v>
                </c:pt>
              </c:numCache>
            </c:numRef>
          </c:val>
          <c:extLst>
            <c:ext xmlns:c16="http://schemas.microsoft.com/office/drawing/2014/chart" uri="{C3380CC4-5D6E-409C-BE32-E72D297353CC}">
              <c16:uniqueId val="{00000000-32C0-447C-B6D3-197F4843F6B1}"/>
            </c:ext>
          </c:extLst>
        </c:ser>
        <c:dLbls>
          <c:showLegendKey val="0"/>
          <c:showVal val="0"/>
          <c:showCatName val="0"/>
          <c:showSerName val="0"/>
          <c:showPercent val="0"/>
          <c:showBubbleSize val="0"/>
        </c:dLbls>
        <c:gapWidth val="219"/>
        <c:overlap val="-27"/>
        <c:axId val="1077966688"/>
        <c:axId val="1077966032"/>
      </c:barChart>
      <c:catAx>
        <c:axId val="1077966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1077966032"/>
        <c:crosses val="autoZero"/>
        <c:auto val="1"/>
        <c:lblAlgn val="ctr"/>
        <c:lblOffset val="100"/>
        <c:noMultiLvlLbl val="0"/>
      </c:catAx>
      <c:valAx>
        <c:axId val="1077966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1077966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[Sales_Automation_Dashboard.xlsm]Pivot_Analysis!ptSalesByProduct</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i="1" u="sng" strike="noStrike" baseline="0">
                <a:solidFill>
                  <a:sysClr val="windowText" lastClr="000000"/>
                </a:solidFill>
              </a:rPr>
              <a:t>Sales by Product</a:t>
            </a:r>
            <a:endParaRPr lang="en-US" sz="1800" b="1" i="1" u="sng">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Pivot_Analysis!$H$4</c:f>
              <c:strCache>
                <c:ptCount val="1"/>
                <c:pt idx="0">
                  <c:v>Total</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Pivot_Analysis!$G$5:$G$20</c:f>
              <c:strCache>
                <c:ptCount val="15"/>
                <c:pt idx="0">
                  <c:v>Backpack</c:v>
                </c:pt>
                <c:pt idx="1">
                  <c:v>Bookshelf</c:v>
                </c:pt>
                <c:pt idx="2">
                  <c:v>Desk</c:v>
                </c:pt>
                <c:pt idx="3">
                  <c:v>Formula1</c:v>
                </c:pt>
                <c:pt idx="4">
                  <c:v>Headphones</c:v>
                </c:pt>
                <c:pt idx="5">
                  <c:v>Jacket</c:v>
                </c:pt>
                <c:pt idx="6">
                  <c:v>Jeans</c:v>
                </c:pt>
                <c:pt idx="7">
                  <c:v>Keyboard</c:v>
                </c:pt>
                <c:pt idx="8">
                  <c:v>Laptop</c:v>
                </c:pt>
                <c:pt idx="9">
                  <c:v>Monitor</c:v>
                </c:pt>
                <c:pt idx="10">
                  <c:v>Mouse</c:v>
                </c:pt>
                <c:pt idx="11">
                  <c:v>Notebook</c:v>
                </c:pt>
                <c:pt idx="12">
                  <c:v>Office Chair</c:v>
                </c:pt>
                <c:pt idx="13">
                  <c:v>Pen Set</c:v>
                </c:pt>
                <c:pt idx="14">
                  <c:v>T-Shirt</c:v>
                </c:pt>
              </c:strCache>
            </c:strRef>
          </c:cat>
          <c:val>
            <c:numRef>
              <c:f>Pivot_Analysis!$H$5:$H$20</c:f>
              <c:numCache>
                <c:formatCode>General</c:formatCode>
                <c:ptCount val="15"/>
                <c:pt idx="0">
                  <c:v>595</c:v>
                </c:pt>
                <c:pt idx="1">
                  <c:v>460.75</c:v>
                </c:pt>
                <c:pt idx="2">
                  <c:v>660</c:v>
                </c:pt>
                <c:pt idx="4">
                  <c:v>465</c:v>
                </c:pt>
                <c:pt idx="5">
                  <c:v>448</c:v>
                </c:pt>
                <c:pt idx="6">
                  <c:v>384</c:v>
                </c:pt>
                <c:pt idx="7">
                  <c:v>441</c:v>
                </c:pt>
                <c:pt idx="8">
                  <c:v>5640</c:v>
                </c:pt>
                <c:pt idx="9">
                  <c:v>828</c:v>
                </c:pt>
                <c:pt idx="10">
                  <c:v>550</c:v>
                </c:pt>
                <c:pt idx="11">
                  <c:v>225</c:v>
                </c:pt>
                <c:pt idx="12">
                  <c:v>1027.5</c:v>
                </c:pt>
                <c:pt idx="13">
                  <c:v>330</c:v>
                </c:pt>
                <c:pt idx="14">
                  <c:v>306</c:v>
                </c:pt>
              </c:numCache>
            </c:numRef>
          </c:val>
          <c:extLst>
            <c:ext xmlns:c16="http://schemas.microsoft.com/office/drawing/2014/chart" uri="{C3380CC4-5D6E-409C-BE32-E72D297353CC}">
              <c16:uniqueId val="{00000000-1151-4541-B624-CD9E64D8C3FC}"/>
            </c:ext>
          </c:extLst>
        </c:ser>
        <c:dLbls>
          <c:dLblPos val="outEnd"/>
          <c:showLegendKey val="0"/>
          <c:showVal val="1"/>
          <c:showCatName val="0"/>
          <c:showSerName val="0"/>
          <c:showPercent val="0"/>
          <c:showBubbleSize val="0"/>
        </c:dLbls>
        <c:gapWidth val="182"/>
        <c:axId val="1005219784"/>
        <c:axId val="1005221424"/>
      </c:barChart>
      <c:catAx>
        <c:axId val="1005219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1005221424"/>
        <c:crosses val="autoZero"/>
        <c:auto val="1"/>
        <c:lblAlgn val="ctr"/>
        <c:lblOffset val="100"/>
        <c:noMultiLvlLbl val="0"/>
      </c:catAx>
      <c:valAx>
        <c:axId val="1005221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1005219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[Sales_Automation_Dashboard.xlsm]Pivot_Analysis!ptProfitByMonth</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1" u="sng">
                <a:solidFill>
                  <a:sysClr val="windowText" lastClr="000000"/>
                </a:solidFill>
              </a:rPr>
              <a:t>Profit Trend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lumMod val="75000"/>
              </a:schemeClr>
            </a:solidFill>
            <a:round/>
          </a:ln>
          <a:effectLst/>
        </c:spPr>
        <c:marker>
          <c:symbol val="none"/>
        </c:marker>
        <c:dLbl>
          <c:idx val="0"/>
          <c:layout>
            <c:manualLayout>
              <c:x val="-8.0564326488496957E-2"/>
              <c:y val="2.1250000000000002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Pivot_Analysis!$E$24</c:f>
              <c:strCache>
                <c:ptCount val="1"/>
                <c:pt idx="0">
                  <c:v>Total</c:v>
                </c:pt>
              </c:strCache>
            </c:strRef>
          </c:tx>
          <c:spPr>
            <a:ln w="28575" cap="rnd">
              <a:solidFill>
                <a:schemeClr val="accent6">
                  <a:lumMod val="75000"/>
                </a:schemeClr>
              </a:solidFill>
              <a:round/>
            </a:ln>
            <a:effectLst/>
          </c:spPr>
          <c:marker>
            <c:symbol val="none"/>
          </c:marker>
          <c:dPt>
            <c:idx val="1"/>
            <c:marker>
              <c:symbol val="none"/>
            </c:marker>
            <c:bubble3D val="0"/>
            <c:spPr>
              <a:ln w="28575" cap="rnd">
                <a:solidFill>
                  <a:schemeClr val="accent6">
                    <a:lumMod val="75000"/>
                  </a:schemeClr>
                </a:solidFill>
                <a:round/>
              </a:ln>
              <a:effectLst/>
            </c:spPr>
            <c:extLst>
              <c:ext xmlns:c16="http://schemas.microsoft.com/office/drawing/2014/chart" uri="{C3380CC4-5D6E-409C-BE32-E72D297353CC}">
                <c16:uniqueId val="{00000001-B15E-426E-A560-F923B00DE45A}"/>
              </c:ext>
            </c:extLst>
          </c:dPt>
          <c:dLbls>
            <c:dLbl>
              <c:idx val="1"/>
              <c:layout>
                <c:manualLayout>
                  <c:x val="-8.0564326488496957E-2"/>
                  <c:y val="2.125000000000000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5E-426E-A560-F923B00DE45A}"/>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Pivot_Analysis!$D$25:$D$34</c:f>
              <c:strCache>
                <c:ptCount val="9"/>
                <c:pt idx="0">
                  <c:v>2026-01</c:v>
                </c:pt>
                <c:pt idx="1">
                  <c:v>2026-02</c:v>
                </c:pt>
                <c:pt idx="2">
                  <c:v>2026-03</c:v>
                </c:pt>
                <c:pt idx="3">
                  <c:v>2026-04</c:v>
                </c:pt>
                <c:pt idx="4">
                  <c:v>2026-05</c:v>
                </c:pt>
                <c:pt idx="5">
                  <c:v>2026-06</c:v>
                </c:pt>
                <c:pt idx="6">
                  <c:v>2026-08</c:v>
                </c:pt>
                <c:pt idx="7">
                  <c:v>2026-10</c:v>
                </c:pt>
                <c:pt idx="8">
                  <c:v>2026-12</c:v>
                </c:pt>
              </c:strCache>
            </c:strRef>
          </c:cat>
          <c:val>
            <c:numRef>
              <c:f>Pivot_Analysis!$E$25:$E$34</c:f>
              <c:numCache>
                <c:formatCode>General</c:formatCode>
                <c:ptCount val="9"/>
                <c:pt idx="0">
                  <c:v>1182</c:v>
                </c:pt>
                <c:pt idx="1">
                  <c:v>572.75</c:v>
                </c:pt>
                <c:pt idx="2">
                  <c:v>1040</c:v>
                </c:pt>
                <c:pt idx="3">
                  <c:v>250</c:v>
                </c:pt>
                <c:pt idx="4">
                  <c:v>207.5</c:v>
                </c:pt>
                <c:pt idx="5">
                  <c:v>130</c:v>
                </c:pt>
                <c:pt idx="6">
                  <c:v>112.5</c:v>
                </c:pt>
                <c:pt idx="7">
                  <c:v>161</c:v>
                </c:pt>
                <c:pt idx="8">
                  <c:v>210</c:v>
                </c:pt>
              </c:numCache>
            </c:numRef>
          </c:val>
          <c:smooth val="0"/>
          <c:extLst>
            <c:ext xmlns:c16="http://schemas.microsoft.com/office/drawing/2014/chart" uri="{C3380CC4-5D6E-409C-BE32-E72D297353CC}">
              <c16:uniqueId val="{00000000-B15E-426E-A560-F923B00DE45A}"/>
            </c:ext>
          </c:extLst>
        </c:ser>
        <c:dLbls>
          <c:dLblPos val="t"/>
          <c:showLegendKey val="0"/>
          <c:showVal val="1"/>
          <c:showCatName val="0"/>
          <c:showSerName val="0"/>
          <c:showPercent val="0"/>
          <c:showBubbleSize val="0"/>
        </c:dLbls>
        <c:smooth val="0"/>
        <c:axId val="1086810936"/>
        <c:axId val="1086811920"/>
      </c:lineChart>
      <c:catAx>
        <c:axId val="108681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1086811920"/>
        <c:crosses val="autoZero"/>
        <c:auto val="1"/>
        <c:lblAlgn val="ctr"/>
        <c:lblOffset val="100"/>
        <c:noMultiLvlLbl val="0"/>
      </c:catAx>
      <c:valAx>
        <c:axId val="10868119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1086810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303715</xdr:colOff>
      <xdr:row>18</xdr:row>
      <xdr:rowOff>162298</xdr:rowOff>
    </xdr:from>
    <xdr:to>
      <xdr:col>4</xdr:col>
      <xdr:colOff>217715</xdr:colOff>
      <xdr:row>33</xdr:row>
      <xdr:rowOff>136071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402771</xdr:colOff>
      <xdr:row>18</xdr:row>
      <xdr:rowOff>163285</xdr:rowOff>
    </xdr:from>
    <xdr:to>
      <xdr:col>14</xdr:col>
      <xdr:colOff>194858</xdr:colOff>
      <xdr:row>33</xdr:row>
      <xdr:rowOff>136071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320041</xdr:colOff>
      <xdr:row>35</xdr:row>
      <xdr:rowOff>162298</xdr:rowOff>
    </xdr:from>
    <xdr:to>
      <xdr:col>4</xdr:col>
      <xdr:colOff>215153</xdr:colOff>
      <xdr:row>51</xdr:row>
      <xdr:rowOff>124609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338173</xdr:colOff>
      <xdr:row>72</xdr:row>
      <xdr:rowOff>142965</xdr:rowOff>
    </xdr:from>
    <xdr:to>
      <xdr:col>4</xdr:col>
      <xdr:colOff>206187</xdr:colOff>
      <xdr:row>88</xdr:row>
      <xdr:rowOff>8965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397230</xdr:colOff>
      <xdr:row>54</xdr:row>
      <xdr:rowOff>171993</xdr:rowOff>
    </xdr:from>
    <xdr:to>
      <xdr:col>14</xdr:col>
      <xdr:colOff>221672</xdr:colOff>
      <xdr:row>70</xdr:row>
      <xdr:rowOff>180110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403747</xdr:colOff>
      <xdr:row>35</xdr:row>
      <xdr:rowOff>163135</xdr:rowOff>
    </xdr:from>
    <xdr:to>
      <xdr:col>14</xdr:col>
      <xdr:colOff>197223</xdr:colOff>
      <xdr:row>51</xdr:row>
      <xdr:rowOff>161364</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335538</xdr:colOff>
      <xdr:row>54</xdr:row>
      <xdr:rowOff>163897</xdr:rowOff>
    </xdr:from>
    <xdr:to>
      <xdr:col>4</xdr:col>
      <xdr:colOff>206188</xdr:colOff>
      <xdr:row>70</xdr:row>
      <xdr:rowOff>161365</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429490</xdr:colOff>
      <xdr:row>72</xdr:row>
      <xdr:rowOff>98465</xdr:rowOff>
    </xdr:from>
    <xdr:to>
      <xdr:col>14</xdr:col>
      <xdr:colOff>221672</xdr:colOff>
      <xdr:row>88</xdr:row>
      <xdr:rowOff>9698</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679268</xdr:colOff>
      <xdr:row>7</xdr:row>
      <xdr:rowOff>180317</xdr:rowOff>
    </xdr:from>
    <xdr:to>
      <xdr:col>1</xdr:col>
      <xdr:colOff>1502228</xdr:colOff>
      <xdr:row>16</xdr:row>
      <xdr:rowOff>54428</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79268" y="2313917"/>
              <a:ext cx="2858589" cy="15505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391885</xdr:colOff>
      <xdr:row>7</xdr:row>
      <xdr:rowOff>134489</xdr:rowOff>
    </xdr:from>
    <xdr:to>
      <xdr:col>7</xdr:col>
      <xdr:colOff>163285</xdr:colOff>
      <xdr:row>16</xdr:row>
      <xdr:rowOff>54429</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517571" y="2268089"/>
              <a:ext cx="2819400" cy="1596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119742</xdr:colOff>
      <xdr:row>7</xdr:row>
      <xdr:rowOff>114302</xdr:rowOff>
    </xdr:from>
    <xdr:to>
      <xdr:col>13</xdr:col>
      <xdr:colOff>533399</xdr:colOff>
      <xdr:row>16</xdr:row>
      <xdr:rowOff>32658</xdr:rowOff>
    </xdr:to>
    <mc:AlternateContent xmlns:mc="http://schemas.openxmlformats.org/markup-compatibility/2006" xmlns:a14="http://schemas.microsoft.com/office/drawing/2010/main">
      <mc:Choice Requires="a14">
        <xdr:graphicFrame macro="">
          <xdr:nvGraphicFramePr>
            <xdr:cNvPr id="13" name="YearMonth">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microsoft.com/office/drawing/2010/slicer">
              <sle:slicer xmlns:sle="http://schemas.microsoft.com/office/drawing/2010/slicer" name="YearMonth"/>
            </a:graphicData>
          </a:graphic>
        </xdr:graphicFrame>
      </mc:Choice>
      <mc:Fallback xmlns="">
        <xdr:sp macro="" textlink="">
          <xdr:nvSpPr>
            <xdr:cNvPr id="0" name=""/>
            <xdr:cNvSpPr>
              <a:spLocks noTextEdit="1"/>
            </xdr:cNvSpPr>
          </xdr:nvSpPr>
          <xdr:spPr>
            <a:xfrm>
              <a:off x="8512628" y="2247902"/>
              <a:ext cx="2852057" cy="15947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14</xdr:col>
          <xdr:colOff>522526</xdr:colOff>
          <xdr:row>20</xdr:row>
          <xdr:rowOff>79182</xdr:rowOff>
        </xdr:from>
        <xdr:to>
          <xdr:col>17</xdr:col>
          <xdr:colOff>164386</xdr:colOff>
          <xdr:row>23</xdr:row>
          <xdr:rowOff>33461</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cs typeface="Calibri"/>
                </a:rPr>
                <a:t>Refresh Dashboard</a:t>
              </a:r>
            </a:p>
          </xdr:txBody>
        </xdr:sp>
        <xdr:clientData fPrintsWithSheet="0"/>
      </xdr:twoCellAnchor>
    </mc:Choice>
    <mc:Fallback/>
  </mc:AlternateContent>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FEAB81DA-EFFB-4401-B9CF-2BD1AD1F4967}">
  <dimension ref="A1"/>
  <sheetViews>
    <sheetView showFormulas="1" workbookViewId="0"/>
  </sheetViews>
  <sheetFormatPr defaultRowHeight="14.4" x14ac:dyDescent="0.3"/>
  <sheetData/>
  <pageMargins left="0.7" right="0.7" top="0.75" bottom="0.75" header="0.3" footer="0.3"/>
</xm:macroshee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6295.670898032404" createdVersion="6" refreshedVersion="6" minRefreshableVersion="3" recordCount="30" xr:uid="{D8CC2AFD-3BC0-4597-95A9-7E0A0EB69236}">
  <cacheSource type="worksheet">
    <worksheetSource name="tblCleanData"/>
  </cacheSource>
  <cacheFields count="17">
    <cacheField name="Date" numFmtId="0">
      <sharedItems containsSemiMixedTypes="0" containsString="0" containsNumber="1" containsInteger="1" minValue="46025" maxValue="46358"/>
    </cacheField>
    <cacheField name="Order ID" numFmtId="0">
      <sharedItems/>
    </cacheField>
    <cacheField name="Customer Name" numFmtId="0">
      <sharedItems/>
    </cacheField>
    <cacheField name="Product" numFmtId="0">
      <sharedItems count="15">
        <s v="Laptop"/>
        <s v="Mouse"/>
        <s v="Office Chair"/>
        <s v="T-Shirt"/>
        <s v="Notebook"/>
        <s v="Keyboard"/>
        <s v="Desk"/>
        <s v="Jeans"/>
        <s v="Monitor"/>
        <s v="Pen Set"/>
        <s v="Headphones"/>
        <s v="Bookshelf"/>
        <s v="Jacket"/>
        <s v="Backpack"/>
        <s v="Formula1" f="1"/>
      </sharedItems>
    </cacheField>
    <cacheField name="Category" numFmtId="0">
      <sharedItems count="4">
        <s v="Electronics"/>
        <s v="Furniture"/>
        <s v="Clothing"/>
        <s v="Stationery"/>
      </sharedItems>
    </cacheField>
    <cacheField name="Region" numFmtId="0">
      <sharedItems count="4">
        <s v="North"/>
        <s v="South"/>
        <s v="East"/>
        <s v="West"/>
      </sharedItems>
    </cacheField>
    <cacheField name="Quantity" numFmtId="0">
      <sharedItems containsSemiMixedTypes="0" containsString="0" containsNumber="1" containsInteger="1" minValue="1" maxValue="25"/>
    </cacheField>
    <cacheField name="Unit Price" numFmtId="0">
      <sharedItems containsSemiMixedTypes="0" containsString="0" containsNumber="1" containsInteger="1" minValue="5" maxValue="1200"/>
    </cacheField>
    <cacheField name="Discount" numFmtId="0">
      <sharedItems containsSemiMixedTypes="0" containsString="0" containsNumber="1" minValue="0" maxValue="0.15"/>
    </cacheField>
    <cacheField name="Cost Price" numFmtId="0">
      <sharedItems containsSemiMixedTypes="0" containsString="0" containsNumber="1" minValue="2.5" maxValue="850"/>
    </cacheField>
    <cacheField name="Sales" numFmtId="0">
      <sharedItems containsSemiMixedTypes="0" containsString="0" containsNumber="1" minValue="100" maxValue="2280"/>
    </cacheField>
    <cacheField name="Profit" numFmtId="0">
      <sharedItems containsSemiMixedTypes="0" containsString="0" containsNumber="1" minValue="50" maxValue="580"/>
    </cacheField>
    <cacheField name="Year" numFmtId="0">
      <sharedItems containsSemiMixedTypes="0" containsString="0" containsNumber="1" containsInteger="1" minValue="2026" maxValue="2026"/>
    </cacheField>
    <cacheField name="MonthNum" numFmtId="0">
      <sharedItems containsSemiMixedTypes="0" containsString="0" containsNumber="1" containsInteger="1" minValue="1" maxValue="12"/>
    </cacheField>
    <cacheField name="Month" numFmtId="0">
      <sharedItems/>
    </cacheField>
    <cacheField name="Quarter" numFmtId="0">
      <sharedItems/>
    </cacheField>
    <cacheField name="YearMonth" numFmtId="0">
      <sharedItems count="9">
        <s v="2026-03"/>
        <s v="2026-04"/>
        <s v="2026-05"/>
        <s v="2026-06"/>
        <s v="2026-08"/>
        <s v="2026-10"/>
        <s v="2026-12"/>
        <s v="2026-01"/>
        <s v="2026-02"/>
      </sharedItems>
    </cacheField>
  </cacheFields>
  <calculatedItems count="1">
    <calculatedItem>
      <pivotArea cacheIndex="1" outline="0" fieldPosition="0">
        <references count="1">
          <reference field="3" count="1">
            <x v="14"/>
          </reference>
        </references>
      </pivotArea>
    </calculatedItem>
  </calculatedItems>
  <extLst>
    <ext xmlns:x14="http://schemas.microsoft.com/office/spreadsheetml/2009/9/main" uri="{725AE2AE-9491-48be-B2B4-4EB974FC3084}">
      <x14:pivotCacheDefinition pivotCacheId="6635762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n v="46082"/>
    <s v="ORD-1001"/>
    <s v="Rahul Sharma"/>
    <x v="0"/>
    <x v="0"/>
    <x v="0"/>
    <n v="2"/>
    <n v="1200"/>
    <n v="0.1"/>
    <n v="850"/>
    <n v="2160"/>
    <n v="460"/>
    <n v="2026"/>
    <n v="3"/>
    <s v="March"/>
    <s v="Q1"/>
    <x v="0"/>
  </r>
  <r>
    <n v="46113"/>
    <s v="ORD-1002"/>
    <s v="Priya Singh"/>
    <x v="1"/>
    <x v="0"/>
    <x v="1"/>
    <n v="5"/>
    <n v="25"/>
    <n v="0"/>
    <n v="15"/>
    <n v="125"/>
    <n v="50"/>
    <n v="2026"/>
    <n v="4"/>
    <s v="April"/>
    <s v="Q2"/>
    <x v="1"/>
  </r>
  <r>
    <n v="46143"/>
    <s v="ORD-1003"/>
    <s v="Amit Patel"/>
    <x v="2"/>
    <x v="1"/>
    <x v="2"/>
    <n v="3"/>
    <n v="150"/>
    <n v="0.05"/>
    <n v="100"/>
    <n v="427.5"/>
    <n v="127.5"/>
    <n v="2026"/>
    <n v="5"/>
    <s v="May"/>
    <s v="Q2"/>
    <x v="2"/>
  </r>
  <r>
    <n v="46174"/>
    <s v="ORD-1004"/>
    <s v="Neha Gupta"/>
    <x v="3"/>
    <x v="2"/>
    <x v="3"/>
    <n v="10"/>
    <n v="15"/>
    <n v="0.1"/>
    <n v="8"/>
    <n v="135"/>
    <n v="55"/>
    <n v="2026"/>
    <n v="6"/>
    <s v="June"/>
    <s v="Q2"/>
    <x v="3"/>
  </r>
  <r>
    <n v="46235"/>
    <s v="ORD-1005"/>
    <s v="Vikram Rao"/>
    <x v="4"/>
    <x v="3"/>
    <x v="0"/>
    <n v="20"/>
    <n v="5"/>
    <n v="0"/>
    <n v="2.5"/>
    <n v="100"/>
    <n v="50"/>
    <n v="2026"/>
    <n v="8"/>
    <s v="August"/>
    <s v="Q3"/>
    <x v="4"/>
  </r>
  <r>
    <n v="46296"/>
    <s v="ORD-1006"/>
    <s v="Sneha Iyer"/>
    <x v="5"/>
    <x v="0"/>
    <x v="1"/>
    <n v="4"/>
    <n v="45"/>
    <n v="0.05"/>
    <n v="28"/>
    <n v="171"/>
    <n v="59"/>
    <n v="2026"/>
    <n v="10"/>
    <s v="October"/>
    <s v="Q4"/>
    <x v="5"/>
  </r>
  <r>
    <n v="46357"/>
    <s v="ORD-1007"/>
    <s v="Arjun Mehta"/>
    <x v="6"/>
    <x v="1"/>
    <x v="2"/>
    <n v="2"/>
    <n v="220"/>
    <n v="0"/>
    <n v="150"/>
    <n v="440"/>
    <n v="140"/>
    <n v="2026"/>
    <n v="12"/>
    <s v="December"/>
    <s v="Q4"/>
    <x v="6"/>
  </r>
  <r>
    <n v="46036"/>
    <s v="ORD-1008"/>
    <s v="Kavya Nair"/>
    <x v="7"/>
    <x v="2"/>
    <x v="3"/>
    <n v="6"/>
    <n v="40"/>
    <n v="0.15"/>
    <n v="22"/>
    <n v="204"/>
    <n v="72"/>
    <n v="2026"/>
    <n v="1"/>
    <s v="January"/>
    <s v="Q1"/>
    <x v="7"/>
  </r>
  <r>
    <n v="46037"/>
    <s v="ORD-1009"/>
    <s v="Rohan Desai"/>
    <x v="8"/>
    <x v="0"/>
    <x v="0"/>
    <n v="3"/>
    <n v="180"/>
    <n v="0.1"/>
    <n v="120"/>
    <n v="486"/>
    <n v="126"/>
    <n v="2026"/>
    <n v="1"/>
    <s v="January"/>
    <s v="Q1"/>
    <x v="7"/>
  </r>
  <r>
    <n v="46039"/>
    <s v="ORD-1010"/>
    <s v="Anjali Joshi"/>
    <x v="9"/>
    <x v="3"/>
    <x v="1"/>
    <n v="15"/>
    <n v="10"/>
    <n v="0"/>
    <n v="5"/>
    <n v="150"/>
    <n v="75"/>
    <n v="2026"/>
    <n v="1"/>
    <s v="January"/>
    <s v="Q1"/>
    <x v="7"/>
  </r>
  <r>
    <n v="46041"/>
    <s v="ORD-1011"/>
    <s v="Rahul Sharma"/>
    <x v="10"/>
    <x v="0"/>
    <x v="2"/>
    <n v="5"/>
    <n v="60"/>
    <n v="0.05"/>
    <n v="35"/>
    <n v="285"/>
    <n v="110"/>
    <n v="2026"/>
    <n v="1"/>
    <s v="January"/>
    <s v="Q1"/>
    <x v="7"/>
  </r>
  <r>
    <n v="46043"/>
    <s v="ORD-1012"/>
    <s v="Priya Singh"/>
    <x v="11"/>
    <x v="1"/>
    <x v="3"/>
    <n v="2"/>
    <n v="95"/>
    <n v="0"/>
    <n v="60"/>
    <n v="190"/>
    <n v="70"/>
    <n v="2026"/>
    <n v="1"/>
    <s v="January"/>
    <s v="Q1"/>
    <x v="7"/>
  </r>
  <r>
    <n v="46045"/>
    <s v="ORD-1013"/>
    <s v="Amit Patel"/>
    <x v="12"/>
    <x v="2"/>
    <x v="0"/>
    <n v="4"/>
    <n v="80"/>
    <n v="0.1"/>
    <n v="45"/>
    <n v="288"/>
    <n v="108"/>
    <n v="2026"/>
    <n v="1"/>
    <s v="January"/>
    <s v="Q1"/>
    <x v="7"/>
  </r>
  <r>
    <n v="46047"/>
    <s v="ORD-1014"/>
    <s v="Neha Gupta"/>
    <x v="13"/>
    <x v="3"/>
    <x v="1"/>
    <n v="8"/>
    <n v="35"/>
    <n v="0"/>
    <n v="18"/>
    <n v="280"/>
    <n v="136"/>
    <n v="2026"/>
    <n v="1"/>
    <s v="January"/>
    <s v="Q1"/>
    <x v="7"/>
  </r>
  <r>
    <n v="46049"/>
    <s v="ORD-1015"/>
    <s v="Vikram Rao"/>
    <x v="0"/>
    <x v="0"/>
    <x v="2"/>
    <n v="1"/>
    <n v="1200"/>
    <n v="0"/>
    <n v="850"/>
    <n v="1200"/>
    <n v="350"/>
    <n v="2026"/>
    <n v="1"/>
    <s v="January"/>
    <s v="Q1"/>
    <x v="7"/>
  </r>
  <r>
    <n v="46055"/>
    <s v="ORD-1016"/>
    <s v="Sneha Iyer"/>
    <x v="1"/>
    <x v="0"/>
    <x v="3"/>
    <n v="10"/>
    <n v="25"/>
    <n v="0.1"/>
    <n v="15"/>
    <n v="225"/>
    <n v="75"/>
    <n v="2026"/>
    <n v="2"/>
    <s v="February"/>
    <s v="Q1"/>
    <x v="8"/>
  </r>
  <r>
    <n v="46114"/>
    <s v="ORD-1017"/>
    <s v="Arjun Mehta"/>
    <x v="2"/>
    <x v="1"/>
    <x v="0"/>
    <n v="4"/>
    <n v="150"/>
    <n v="0"/>
    <n v="100"/>
    <n v="600"/>
    <n v="200"/>
    <n v="2026"/>
    <n v="4"/>
    <s v="April"/>
    <s v="Q2"/>
    <x v="1"/>
  </r>
  <r>
    <n v="46175"/>
    <s v="ORD-1018"/>
    <s v="Kavya Nair"/>
    <x v="3"/>
    <x v="2"/>
    <x v="1"/>
    <n v="12"/>
    <n v="15"/>
    <n v="0.05"/>
    <n v="8"/>
    <n v="171"/>
    <n v="75"/>
    <n v="2026"/>
    <n v="6"/>
    <s v="June"/>
    <s v="Q2"/>
    <x v="3"/>
  </r>
  <r>
    <n v="46236"/>
    <s v="ORD-1019"/>
    <s v="Rohan Desai"/>
    <x v="4"/>
    <x v="3"/>
    <x v="2"/>
    <n v="25"/>
    <n v="5"/>
    <n v="0"/>
    <n v="2.5"/>
    <n v="125"/>
    <n v="62.5"/>
    <n v="2026"/>
    <n v="8"/>
    <s v="August"/>
    <s v="Q3"/>
    <x v="4"/>
  </r>
  <r>
    <n v="46297"/>
    <s v="ORD-1020"/>
    <s v="Anjali Joshi"/>
    <x v="5"/>
    <x v="0"/>
    <x v="3"/>
    <n v="6"/>
    <n v="45"/>
    <n v="0"/>
    <n v="28"/>
    <n v="270"/>
    <n v="102"/>
    <n v="2026"/>
    <n v="10"/>
    <s v="October"/>
    <s v="Q4"/>
    <x v="5"/>
  </r>
  <r>
    <n v="46358"/>
    <s v="ORD-1021"/>
    <s v="Rahul Sharma"/>
    <x v="6"/>
    <x v="1"/>
    <x v="0"/>
    <n v="1"/>
    <n v="220"/>
    <n v="0"/>
    <n v="150"/>
    <n v="220"/>
    <n v="70"/>
    <n v="2026"/>
    <n v="12"/>
    <s v="December"/>
    <s v="Q4"/>
    <x v="6"/>
  </r>
  <r>
    <n v="46067"/>
    <s v="ORD-1022"/>
    <s v="Priya Singh"/>
    <x v="7"/>
    <x v="2"/>
    <x v="1"/>
    <n v="5"/>
    <n v="40"/>
    <n v="0.1"/>
    <n v="22"/>
    <n v="180"/>
    <n v="70"/>
    <n v="2026"/>
    <n v="2"/>
    <s v="February"/>
    <s v="Q1"/>
    <x v="8"/>
  </r>
  <r>
    <n v="46069"/>
    <s v="ORD-1023"/>
    <s v="Amit Patel"/>
    <x v="8"/>
    <x v="0"/>
    <x v="2"/>
    <n v="2"/>
    <n v="180"/>
    <n v="0.05"/>
    <n v="120"/>
    <n v="342"/>
    <n v="102"/>
    <n v="2026"/>
    <n v="2"/>
    <s v="February"/>
    <s v="Q1"/>
    <x v="8"/>
  </r>
  <r>
    <n v="46071"/>
    <s v="ORD-1024"/>
    <s v="Neha Gupta"/>
    <x v="9"/>
    <x v="3"/>
    <x v="3"/>
    <n v="18"/>
    <n v="10"/>
    <n v="0"/>
    <n v="5"/>
    <n v="180"/>
    <n v="90"/>
    <n v="2026"/>
    <n v="2"/>
    <s v="February"/>
    <s v="Q1"/>
    <x v="8"/>
  </r>
  <r>
    <n v="46073"/>
    <s v="ORD-1025"/>
    <s v="Vikram Rao"/>
    <x v="10"/>
    <x v="0"/>
    <x v="0"/>
    <n v="3"/>
    <n v="60"/>
    <n v="0"/>
    <n v="35"/>
    <n v="180"/>
    <n v="75"/>
    <n v="2026"/>
    <n v="2"/>
    <s v="February"/>
    <s v="Q1"/>
    <x v="8"/>
  </r>
  <r>
    <n v="46075"/>
    <s v="ORD-1026"/>
    <s v="Sneha Iyer"/>
    <x v="11"/>
    <x v="1"/>
    <x v="1"/>
    <n v="3"/>
    <n v="95"/>
    <n v="0.05"/>
    <n v="60"/>
    <n v="270.75"/>
    <n v="90.75"/>
    <n v="2026"/>
    <n v="2"/>
    <s v="February"/>
    <s v="Q1"/>
    <x v="8"/>
  </r>
  <r>
    <n v="46077"/>
    <s v="ORD-1027"/>
    <s v="Arjun Mehta"/>
    <x v="12"/>
    <x v="2"/>
    <x v="2"/>
    <n v="2"/>
    <n v="80"/>
    <n v="0"/>
    <n v="45"/>
    <n v="160"/>
    <n v="70"/>
    <n v="2026"/>
    <n v="2"/>
    <s v="February"/>
    <s v="Q1"/>
    <x v="8"/>
  </r>
  <r>
    <n v="46025"/>
    <s v="ORD-1028"/>
    <s v="Kavya Nair"/>
    <x v="13"/>
    <x v="3"/>
    <x v="3"/>
    <n v="10"/>
    <n v="35"/>
    <n v="0.1"/>
    <n v="18"/>
    <n v="315"/>
    <n v="135"/>
    <n v="2026"/>
    <n v="1"/>
    <s v="January"/>
    <s v="Q1"/>
    <x v="7"/>
  </r>
  <r>
    <n v="46084"/>
    <s v="ORD-1029"/>
    <s v="Rohan Desai"/>
    <x v="0"/>
    <x v="0"/>
    <x v="0"/>
    <n v="2"/>
    <n v="1200"/>
    <n v="0.05"/>
    <n v="850"/>
    <n v="2280"/>
    <n v="580"/>
    <n v="2026"/>
    <n v="3"/>
    <s v="March"/>
    <s v="Q1"/>
    <x v="0"/>
  </r>
  <r>
    <n v="46145"/>
    <s v="ORD-1030"/>
    <s v="Anjali Joshi"/>
    <x v="1"/>
    <x v="0"/>
    <x v="1"/>
    <n v="8"/>
    <n v="25"/>
    <n v="0"/>
    <n v="15"/>
    <n v="200"/>
    <n v="80"/>
    <n v="2026"/>
    <n v="5"/>
    <s v="May"/>
    <s v="Q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AB379B-32E1-4B54-9E66-C39568CA7D3B}" name="ptQuantityByProduc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Product">
  <location ref="G24:H40" firstHeaderRow="1" firstDataRow="1" firstDataCol="1"/>
  <pivotFields count="17">
    <pivotField showAll="0"/>
    <pivotField showAll="0"/>
    <pivotField showAll="0"/>
    <pivotField axis="axisRow" showAll="0">
      <items count="16">
        <item x="13"/>
        <item x="11"/>
        <item x="6"/>
        <item f="1" x="14"/>
        <item x="10"/>
        <item x="12"/>
        <item x="7"/>
        <item x="5"/>
        <item x="0"/>
        <item x="8"/>
        <item x="1"/>
        <item x="4"/>
        <item x="2"/>
        <item x="9"/>
        <item x="3"/>
        <item t="default"/>
      </items>
    </pivotField>
    <pivotField showAll="0">
      <items count="5">
        <item x="2"/>
        <item x="0"/>
        <item x="1"/>
        <item x="3"/>
        <item t="default"/>
      </items>
    </pivotField>
    <pivotField showAll="0">
      <items count="5">
        <item x="2"/>
        <item x="0"/>
        <item x="1"/>
        <item x="3"/>
        <item t="default"/>
      </items>
    </pivotField>
    <pivotField dataField="1" showAll="0"/>
    <pivotField showAll="0"/>
    <pivotField showAll="0"/>
    <pivotField showAll="0"/>
    <pivotField showAll="0"/>
    <pivotField showAll="0"/>
    <pivotField showAll="0"/>
    <pivotField showAll="0"/>
    <pivotField showAll="0"/>
    <pivotField showAll="0"/>
    <pivotField showAll="0">
      <items count="10">
        <item x="7"/>
        <item x="8"/>
        <item x="0"/>
        <item x="1"/>
        <item x="2"/>
        <item x="3"/>
        <item x="4"/>
        <item x="5"/>
        <item x="6"/>
        <item t="default"/>
      </items>
    </pivotField>
  </pivotFields>
  <rowFields count="1">
    <field x="3"/>
  </rowFields>
  <rowItems count="16">
    <i>
      <x/>
    </i>
    <i>
      <x v="1"/>
    </i>
    <i>
      <x v="2"/>
    </i>
    <i>
      <x v="3"/>
    </i>
    <i>
      <x v="4"/>
    </i>
    <i>
      <x v="5"/>
    </i>
    <i>
      <x v="6"/>
    </i>
    <i>
      <x v="7"/>
    </i>
    <i>
      <x v="8"/>
    </i>
    <i>
      <x v="9"/>
    </i>
    <i>
      <x v="10"/>
    </i>
    <i>
      <x v="11"/>
    </i>
    <i>
      <x v="12"/>
    </i>
    <i>
      <x v="13"/>
    </i>
    <i>
      <x v="14"/>
    </i>
    <i t="grand">
      <x/>
    </i>
  </rowItems>
  <colItems count="1">
    <i/>
  </colItems>
  <dataFields count="1">
    <dataField name=" Quantity" fld="6" baseField="3"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3E00B6-9AB3-44FE-AE0D-72A0DCCB321E}" name="ptProfitByMonth"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rowHeaderCaption="YearMonth">
  <location ref="D24:E34" firstHeaderRow="1" firstDataRow="1" firstDataCol="1"/>
  <pivotFields count="17">
    <pivotField showAll="0"/>
    <pivotField showAll="0"/>
    <pivotField showAll="0"/>
    <pivotField showAll="0">
      <items count="16">
        <item x="13"/>
        <item x="11"/>
        <item x="6"/>
        <item f="1" x="14"/>
        <item x="10"/>
        <item x="12"/>
        <item x="7"/>
        <item x="5"/>
        <item x="0"/>
        <item x="8"/>
        <item x="1"/>
        <item x="4"/>
        <item x="2"/>
        <item x="9"/>
        <item x="3"/>
        <item t="default"/>
      </items>
    </pivotField>
    <pivotField showAll="0">
      <items count="5">
        <item x="2"/>
        <item x="0"/>
        <item x="1"/>
        <item x="3"/>
        <item t="default"/>
      </items>
    </pivotField>
    <pivotField showAll="0">
      <items count="5">
        <item x="2"/>
        <item x="0"/>
        <item x="1"/>
        <item x="3"/>
        <item t="default"/>
      </items>
    </pivotField>
    <pivotField showAll="0"/>
    <pivotField showAll="0"/>
    <pivotField showAll="0"/>
    <pivotField showAll="0"/>
    <pivotField showAll="0"/>
    <pivotField dataField="1" showAll="0"/>
    <pivotField showAll="0"/>
    <pivotField showAll="0"/>
    <pivotField showAll="0"/>
    <pivotField showAll="0"/>
    <pivotField axis="axisRow" showAll="0">
      <items count="10">
        <item x="7"/>
        <item x="8"/>
        <item x="0"/>
        <item x="1"/>
        <item x="2"/>
        <item x="3"/>
        <item x="4"/>
        <item x="5"/>
        <item x="6"/>
        <item t="default"/>
      </items>
    </pivotField>
  </pivotFields>
  <rowFields count="1">
    <field x="16"/>
  </rowFields>
  <rowItems count="10">
    <i>
      <x/>
    </i>
    <i>
      <x v="1"/>
    </i>
    <i>
      <x v="2"/>
    </i>
    <i>
      <x v="3"/>
    </i>
    <i>
      <x v="4"/>
    </i>
    <i>
      <x v="5"/>
    </i>
    <i>
      <x v="6"/>
    </i>
    <i>
      <x v="7"/>
    </i>
    <i>
      <x v="8"/>
    </i>
    <i t="grand">
      <x/>
    </i>
  </rowItems>
  <colItems count="1">
    <i/>
  </colItems>
  <dataFields count="1">
    <dataField name="Sum of Profit" fld="11" baseField="16" baseItem="0"/>
  </dataFields>
  <chartFormats count="5">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CA796D-7030-4C99-A59B-6BC4246D8479}" name="ptSalesByMonth"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YearMonth">
  <location ref="A24:B34" firstHeaderRow="1" firstDataRow="1" firstDataCol="1"/>
  <pivotFields count="17">
    <pivotField showAll="0"/>
    <pivotField showAll="0"/>
    <pivotField showAll="0"/>
    <pivotField showAll="0">
      <items count="16">
        <item x="13"/>
        <item x="11"/>
        <item x="6"/>
        <item f="1" x="14"/>
        <item x="10"/>
        <item x="12"/>
        <item x="7"/>
        <item x="5"/>
        <item x="0"/>
        <item x="8"/>
        <item x="1"/>
        <item x="4"/>
        <item x="2"/>
        <item x="9"/>
        <item x="3"/>
        <item t="default"/>
      </items>
    </pivotField>
    <pivotField showAll="0">
      <items count="5">
        <item x="2"/>
        <item x="0"/>
        <item x="1"/>
        <item x="3"/>
        <item t="default"/>
      </items>
    </pivotField>
    <pivotField showAll="0">
      <items count="5">
        <item x="2"/>
        <item x="0"/>
        <item x="1"/>
        <item x="3"/>
        <item t="default"/>
      </items>
    </pivotField>
    <pivotField showAll="0"/>
    <pivotField showAll="0"/>
    <pivotField showAll="0"/>
    <pivotField showAll="0"/>
    <pivotField dataField="1" showAll="0"/>
    <pivotField showAll="0"/>
    <pivotField showAll="0"/>
    <pivotField showAll="0"/>
    <pivotField showAll="0"/>
    <pivotField showAll="0"/>
    <pivotField axis="axisRow" showAll="0">
      <items count="10">
        <item x="7"/>
        <item x="8"/>
        <item x="0"/>
        <item x="1"/>
        <item x="2"/>
        <item x="3"/>
        <item x="4"/>
        <item x="5"/>
        <item x="6"/>
        <item t="default"/>
      </items>
    </pivotField>
  </pivotFields>
  <rowFields count="1">
    <field x="16"/>
  </rowFields>
  <rowItems count="10">
    <i>
      <x/>
    </i>
    <i>
      <x v="1"/>
    </i>
    <i>
      <x v="2"/>
    </i>
    <i>
      <x v="3"/>
    </i>
    <i>
      <x v="4"/>
    </i>
    <i>
      <x v="5"/>
    </i>
    <i>
      <x v="6"/>
    </i>
    <i>
      <x v="7"/>
    </i>
    <i>
      <x v="8"/>
    </i>
    <i t="grand">
      <x/>
    </i>
  </rowItems>
  <colItems count="1">
    <i/>
  </colItems>
  <dataFields count="1">
    <dataField name=" Sales" fld="10" baseField="16" baseItem="0"/>
  </dataFields>
  <chartFormats count="2">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BBACD3-9A9B-4FDB-88D5-03BCAD1665BF}" name="ptSalesByProduct"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rowHeaderCaption="Product">
  <location ref="G4:H20" firstHeaderRow="1" firstDataRow="1" firstDataCol="1"/>
  <pivotFields count="17">
    <pivotField showAll="0"/>
    <pivotField showAll="0"/>
    <pivotField showAll="0"/>
    <pivotField axis="axisRow" showAll="0">
      <items count="16">
        <item x="13"/>
        <item x="11"/>
        <item x="6"/>
        <item f="1" x="14"/>
        <item x="10"/>
        <item x="12"/>
        <item x="7"/>
        <item x="5"/>
        <item x="0"/>
        <item x="8"/>
        <item x="1"/>
        <item x="4"/>
        <item x="2"/>
        <item x="9"/>
        <item x="3"/>
        <item t="default"/>
      </items>
    </pivotField>
    <pivotField showAll="0">
      <items count="5">
        <item x="2"/>
        <item x="0"/>
        <item x="1"/>
        <item x="3"/>
        <item t="default"/>
      </items>
    </pivotField>
    <pivotField showAll="0">
      <items count="5">
        <item x="2"/>
        <item x="0"/>
        <item x="1"/>
        <item x="3"/>
        <item t="default"/>
      </items>
    </pivotField>
    <pivotField showAll="0"/>
    <pivotField showAll="0"/>
    <pivotField showAll="0"/>
    <pivotField showAll="0"/>
    <pivotField dataField="1" showAll="0"/>
    <pivotField showAll="0"/>
    <pivotField showAll="0"/>
    <pivotField showAll="0"/>
    <pivotField showAll="0"/>
    <pivotField showAll="0"/>
    <pivotField showAll="0">
      <items count="10">
        <item x="7"/>
        <item x="8"/>
        <item x="0"/>
        <item x="1"/>
        <item x="2"/>
        <item x="3"/>
        <item x="4"/>
        <item x="5"/>
        <item x="6"/>
        <item t="default"/>
      </items>
    </pivotField>
  </pivotFields>
  <rowFields count="1">
    <field x="3"/>
  </rowFields>
  <rowItems count="16">
    <i>
      <x/>
    </i>
    <i>
      <x v="1"/>
    </i>
    <i>
      <x v="2"/>
    </i>
    <i>
      <x v="3"/>
    </i>
    <i>
      <x v="4"/>
    </i>
    <i>
      <x v="5"/>
    </i>
    <i>
      <x v="6"/>
    </i>
    <i>
      <x v="7"/>
    </i>
    <i>
      <x v="8"/>
    </i>
    <i>
      <x v="9"/>
    </i>
    <i>
      <x v="10"/>
    </i>
    <i>
      <x v="11"/>
    </i>
    <i>
      <x v="12"/>
    </i>
    <i>
      <x v="13"/>
    </i>
    <i>
      <x v="14"/>
    </i>
    <i t="grand">
      <x/>
    </i>
  </rowItems>
  <colItems count="1">
    <i/>
  </colItems>
  <dataFields count="1">
    <dataField name="Sum of Sales" fld="10"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922974-4638-46EC-B73A-3B2CA7CD382D}" name="ptSalesByRegio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rowHeaderCaption="Region">
  <location ref="A4:B9" firstHeaderRow="1" firstDataRow="1" firstDataCol="1"/>
  <pivotFields count="17">
    <pivotField showAll="0"/>
    <pivotField showAll="0"/>
    <pivotField showAll="0"/>
    <pivotField showAll="0">
      <items count="16">
        <item x="13"/>
        <item x="11"/>
        <item x="6"/>
        <item x="10"/>
        <item x="12"/>
        <item x="7"/>
        <item x="5"/>
        <item x="0"/>
        <item x="8"/>
        <item x="1"/>
        <item x="4"/>
        <item x="2"/>
        <item x="9"/>
        <item x="3"/>
        <item f="1" x="14"/>
        <item t="default"/>
      </items>
    </pivotField>
    <pivotField showAll="0">
      <items count="5">
        <item x="2"/>
        <item x="0"/>
        <item x="1"/>
        <item x="3"/>
        <item t="default"/>
      </items>
    </pivotField>
    <pivotField axis="axisRow" showAll="0">
      <items count="5">
        <item x="2"/>
        <item x="0"/>
        <item x="1"/>
        <item x="3"/>
        <item t="default"/>
      </items>
    </pivotField>
    <pivotField showAll="0"/>
    <pivotField showAll="0"/>
    <pivotField showAll="0"/>
    <pivotField showAll="0"/>
    <pivotField dataField="1" showAll="0"/>
    <pivotField showAll="0"/>
    <pivotField showAll="0"/>
    <pivotField showAll="0"/>
    <pivotField showAll="0"/>
    <pivotField showAll="0"/>
    <pivotField showAll="0">
      <items count="10">
        <item x="7"/>
        <item x="8"/>
        <item x="0"/>
        <item x="1"/>
        <item x="2"/>
        <item x="3"/>
        <item x="4"/>
        <item x="5"/>
        <item x="6"/>
        <item t="default"/>
      </items>
    </pivotField>
  </pivotFields>
  <rowFields count="1">
    <field x="5"/>
  </rowFields>
  <rowItems count="5">
    <i>
      <x/>
    </i>
    <i>
      <x v="1"/>
    </i>
    <i>
      <x v="2"/>
    </i>
    <i>
      <x v="3"/>
    </i>
    <i t="grand">
      <x/>
    </i>
  </rowItems>
  <colItems count="1">
    <i/>
  </colItems>
  <dataFields count="1">
    <dataField name="Sum of Sales" fld="10" baseField="0" baseItem="0"/>
  </dataFields>
  <chartFormats count="1">
    <chartFormat chart="6"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FCF083-FF8B-4519-AE99-39ED416ADC93}" name="ptProfitByCategor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Category">
  <location ref="D15:E20" firstHeaderRow="1" firstDataRow="1" firstDataCol="1"/>
  <pivotFields count="17">
    <pivotField showAll="0"/>
    <pivotField showAll="0"/>
    <pivotField showAll="0"/>
    <pivotField showAll="0">
      <items count="16">
        <item x="13"/>
        <item x="11"/>
        <item x="6"/>
        <item x="10"/>
        <item x="12"/>
        <item x="7"/>
        <item x="5"/>
        <item x="0"/>
        <item x="8"/>
        <item x="1"/>
        <item x="4"/>
        <item x="2"/>
        <item x="9"/>
        <item x="3"/>
        <item f="1" x="14"/>
        <item t="default"/>
      </items>
    </pivotField>
    <pivotField axis="axisRow" showAll="0">
      <items count="5">
        <item x="2"/>
        <item x="0"/>
        <item x="1"/>
        <item x="3"/>
        <item t="default"/>
      </items>
    </pivotField>
    <pivotField showAll="0">
      <items count="5">
        <item x="2"/>
        <item x="0"/>
        <item x="1"/>
        <item x="3"/>
        <item t="default"/>
      </items>
    </pivotField>
    <pivotField showAll="0"/>
    <pivotField showAll="0"/>
    <pivotField showAll="0"/>
    <pivotField showAll="0"/>
    <pivotField showAll="0"/>
    <pivotField dataField="1" showAll="0"/>
    <pivotField showAll="0"/>
    <pivotField showAll="0"/>
    <pivotField showAll="0"/>
    <pivotField showAll="0"/>
    <pivotField showAll="0">
      <items count="10">
        <item x="7"/>
        <item x="8"/>
        <item x="0"/>
        <item x="1"/>
        <item x="2"/>
        <item x="3"/>
        <item x="4"/>
        <item x="5"/>
        <item x="6"/>
        <item t="default"/>
      </items>
    </pivotField>
  </pivotFields>
  <rowFields count="1">
    <field x="4"/>
  </rowFields>
  <rowItems count="5">
    <i>
      <x/>
    </i>
    <i>
      <x v="1"/>
    </i>
    <i>
      <x v="2"/>
    </i>
    <i>
      <x v="3"/>
    </i>
    <i t="grand">
      <x/>
    </i>
  </rowItems>
  <colItems count="1">
    <i/>
  </colItems>
  <dataFields count="1">
    <dataField name=" Profit" fld="11" baseField="4"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3B9BC88-C692-4A73-8FF4-C65C6876679A}" name="ptSalesByCategor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Category">
  <location ref="A15:B20" firstHeaderRow="1" firstDataRow="1" firstDataCol="1"/>
  <pivotFields count="17">
    <pivotField showAll="0"/>
    <pivotField showAll="0"/>
    <pivotField showAll="0"/>
    <pivotField showAll="0">
      <items count="16">
        <item x="13"/>
        <item x="11"/>
        <item x="6"/>
        <item x="10"/>
        <item x="12"/>
        <item x="7"/>
        <item x="5"/>
        <item x="0"/>
        <item x="8"/>
        <item x="1"/>
        <item x="4"/>
        <item x="2"/>
        <item x="9"/>
        <item x="3"/>
        <item f="1" x="14"/>
        <item t="default"/>
      </items>
    </pivotField>
    <pivotField axis="axisRow" showAll="0">
      <items count="5">
        <item x="2"/>
        <item x="0"/>
        <item x="1"/>
        <item x="3"/>
        <item t="default"/>
      </items>
    </pivotField>
    <pivotField showAll="0">
      <items count="5">
        <item x="2"/>
        <item x="0"/>
        <item x="1"/>
        <item x="3"/>
        <item t="default"/>
      </items>
    </pivotField>
    <pivotField showAll="0"/>
    <pivotField showAll="0"/>
    <pivotField showAll="0"/>
    <pivotField showAll="0"/>
    <pivotField dataField="1" showAll="0"/>
    <pivotField showAll="0"/>
    <pivotField showAll="0"/>
    <pivotField showAll="0"/>
    <pivotField showAll="0"/>
    <pivotField showAll="0"/>
    <pivotField showAll="0">
      <items count="10">
        <item x="7"/>
        <item x="8"/>
        <item x="0"/>
        <item x="1"/>
        <item x="2"/>
        <item x="3"/>
        <item x="4"/>
        <item x="5"/>
        <item x="6"/>
        <item t="default"/>
      </items>
    </pivotField>
  </pivotFields>
  <rowFields count="1">
    <field x="4"/>
  </rowFields>
  <rowItems count="5">
    <i>
      <x/>
    </i>
    <i>
      <x v="1"/>
    </i>
    <i>
      <x v="2"/>
    </i>
    <i>
      <x v="3"/>
    </i>
    <i t="grand">
      <x/>
    </i>
  </rowItems>
  <colItems count="1">
    <i/>
  </colItems>
  <dataFields count="1">
    <dataField name=" Sales" fld="10" baseField="4"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C7E219F-8960-4DD8-BDC6-E3E3F791B449}" name="ptProfitByRegio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Region">
  <location ref="D4:E9" firstHeaderRow="1" firstDataRow="1" firstDataCol="1"/>
  <pivotFields count="17">
    <pivotField showAll="0"/>
    <pivotField showAll="0"/>
    <pivotField showAll="0"/>
    <pivotField showAll="0">
      <items count="16">
        <item x="13"/>
        <item x="11"/>
        <item x="6"/>
        <item x="10"/>
        <item x="12"/>
        <item x="7"/>
        <item x="5"/>
        <item x="0"/>
        <item x="8"/>
        <item x="1"/>
        <item x="4"/>
        <item x="2"/>
        <item x="9"/>
        <item x="3"/>
        <item f="1" x="14"/>
        <item t="default"/>
      </items>
    </pivotField>
    <pivotField showAll="0">
      <items count="5">
        <item x="2"/>
        <item x="0"/>
        <item x="1"/>
        <item x="3"/>
        <item t="default"/>
      </items>
    </pivotField>
    <pivotField axis="axisRow" showAll="0">
      <items count="5">
        <item x="2"/>
        <item x="0"/>
        <item x="1"/>
        <item x="3"/>
        <item t="default"/>
      </items>
    </pivotField>
    <pivotField showAll="0"/>
    <pivotField showAll="0"/>
    <pivotField showAll="0"/>
    <pivotField showAll="0"/>
    <pivotField showAll="0"/>
    <pivotField dataField="1" showAll="0"/>
    <pivotField showAll="0"/>
    <pivotField showAll="0"/>
    <pivotField showAll="0"/>
    <pivotField showAll="0"/>
    <pivotField showAll="0">
      <items count="10">
        <item x="7"/>
        <item x="8"/>
        <item x="0"/>
        <item x="1"/>
        <item x="2"/>
        <item x="3"/>
        <item x="4"/>
        <item x="5"/>
        <item x="6"/>
        <item t="default"/>
      </items>
    </pivotField>
  </pivotFields>
  <rowFields count="1">
    <field x="5"/>
  </rowFields>
  <rowItems count="5">
    <i>
      <x/>
    </i>
    <i>
      <x v="1"/>
    </i>
    <i>
      <x v="2"/>
    </i>
    <i>
      <x v="3"/>
    </i>
    <i t="grand">
      <x/>
    </i>
  </rowItems>
  <colItems count="1">
    <i/>
  </colItems>
  <dataFields count="1">
    <dataField name="Sum of Profit" fld="11" baseField="5"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42877D1-3AFF-4CF0-97BC-7457A05AA244}" autoFormatId="16" applyNumberFormats="0" applyBorderFormats="0" applyFontFormats="0" applyPatternFormats="0" applyAlignmentFormats="0" applyWidthHeightFormats="0">
  <queryTableRefresh nextId="18">
    <queryTableFields count="17">
      <queryTableField id="1" name="Date" tableColumnId="1"/>
      <queryTableField id="2" name="Order ID" tableColumnId="2"/>
      <queryTableField id="3" name="Customer Name" tableColumnId="3"/>
      <queryTableField id="4" name="Product" tableColumnId="4"/>
      <queryTableField id="5" name="Category" tableColumnId="5"/>
      <queryTableField id="6" name="Region" tableColumnId="6"/>
      <queryTableField id="7" name="Quantity" tableColumnId="7"/>
      <queryTableField id="8" name="Unit Price" tableColumnId="8"/>
      <queryTableField id="9" name="Discount" tableColumnId="9"/>
      <queryTableField id="10" name="Cost Price" tableColumnId="10"/>
      <queryTableField id="11" name="Sales" tableColumnId="11"/>
      <queryTableField id="12" name="Profit" tableColumnId="12"/>
      <queryTableField id="13" name="Year" tableColumnId="13"/>
      <queryTableField id="14" name="MonthNum" tableColumnId="14"/>
      <queryTableField id="15" name="Month" tableColumnId="15"/>
      <queryTableField id="16" name="Quarter" tableColumnId="16"/>
      <queryTableField id="17" name="YearMonth"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01F09C8-BFAF-4536-94B9-F9354F6EBDBF}" sourceName="Region">
  <pivotTables>
    <pivotTable tabId="5" name="ptSalesByRegion"/>
    <pivotTable tabId="5" name="ptProfitByCategory"/>
    <pivotTable tabId="5" name="ptProfitByMonth"/>
    <pivotTable tabId="5" name="ptProfitByRegion"/>
    <pivotTable tabId="5" name="ptQuantityByProduct"/>
    <pivotTable tabId="5" name="ptSalesByCategory"/>
    <pivotTable tabId="5" name="ptSalesByMonth"/>
    <pivotTable tabId="5" name="ptSalesByProduct"/>
  </pivotTables>
  <data>
    <tabular pivotCacheId="663576268">
      <items count="4">
        <i x="2" s="1"/>
        <i x="0"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47E2623-6D33-417C-92B2-50B36868D60E}" sourceName="Category">
  <pivotTables>
    <pivotTable tabId="5" name="ptProfitByRegion"/>
    <pivotTable tabId="5" name="ptProfitByCategory"/>
    <pivotTable tabId="5" name="ptProfitByMonth"/>
    <pivotTable tabId="5" name="ptQuantityByProduct"/>
    <pivotTable tabId="5" name="ptSalesByCategory"/>
    <pivotTable tabId="5" name="ptSalesByMonth"/>
    <pivotTable tabId="5" name="ptSalesByProduct"/>
    <pivotTable tabId="5" name="ptSalesByRegion"/>
  </pivotTables>
  <data>
    <tabular pivotCacheId="663576268">
      <items count="4">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Month" xr10:uid="{AF366D0B-589E-4BBA-8520-622C6765451B}" sourceName="YearMonth">
  <pivotTables>
    <pivotTable tabId="5" name="ptProfitByRegion"/>
    <pivotTable tabId="5" name="ptProfitByCategory"/>
    <pivotTable tabId="5" name="ptProfitByMonth"/>
    <pivotTable tabId="5" name="ptQuantityByProduct"/>
    <pivotTable tabId="5" name="ptSalesByCategory"/>
    <pivotTable tabId="5" name="ptSalesByMonth"/>
    <pivotTable tabId="5" name="ptSalesByProduct"/>
    <pivotTable tabId="5" name="ptSalesByRegion"/>
  </pivotTables>
  <data>
    <tabular pivotCacheId="663576268">
      <items count="9">
        <i x="7" s="1"/>
        <i x="8" s="1"/>
        <i x="0" s="1"/>
        <i x="1" s="1"/>
        <i x="2" s="1"/>
        <i x="3" s="1"/>
        <i x="4" s="1"/>
        <i x="5"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40CB013-044E-4B1C-BA20-719F5C32D619}" cache="Slicer_Region" caption="Region" rowHeight="234950"/>
  <slicer name="Category" xr10:uid="{30ADA4DC-A52C-4BC4-9CBA-1526E2D4F32A}" cache="Slicer_Category" caption="Category" rowHeight="234950"/>
  <slicer name="YearMonth" xr10:uid="{20DD9C3F-8091-4CE8-98D7-6BB5EAD3252B}" cache="Slicer_YearMonth" caption="YearMonth"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D8A244C-1470-435D-A53B-9DA1B8380E83}" name="tblSales" displayName="tblSales" ref="A1:L31" totalsRowShown="0">
  <autoFilter ref="A1:L31" xr:uid="{C88B040C-C8EE-4F52-9055-E0D1EBB5C321}"/>
  <tableColumns count="12">
    <tableColumn id="1" xr3:uid="{DBF8F495-533E-43BB-A18B-600F5B7AC5BD}" name="Date" dataDxfId="5"/>
    <tableColumn id="2" xr3:uid="{A303C6CF-1007-4F60-BA78-34CBE02F30BA}" name="Order ID"/>
    <tableColumn id="3" xr3:uid="{51069344-9219-4A13-AED9-D5E13AA2516D}" name="Customer Name"/>
    <tableColumn id="4" xr3:uid="{3D7166CD-F415-43C7-A2CE-18BA61ABECB7}" name="Product"/>
    <tableColumn id="5" xr3:uid="{FDAFE118-081E-424E-897A-D384CDF55744}" name="Category"/>
    <tableColumn id="6" xr3:uid="{E412B636-C4EF-4855-8CE6-52BFC436E440}" name="Region"/>
    <tableColumn id="7" xr3:uid="{95190E20-4790-4AB7-881A-8272CB1F81A0}" name="Quantity"/>
    <tableColumn id="8" xr3:uid="{133BCC67-72B0-4305-98A0-DEA8CD6AF8D2}" name="Unit Price" dataDxfId="4"/>
    <tableColumn id="9" xr3:uid="{C215DE88-773B-4449-A089-DCAAD2C611BE}" name="Discount" dataDxfId="3"/>
    <tableColumn id="10" xr3:uid="{A1E07B0C-4058-450A-A550-FA4D46A49C39}" name="Cost Price" dataDxfId="2"/>
    <tableColumn id="11" xr3:uid="{A94B1F79-8B67-49B9-A74F-229BF75654FC}" name="Sales" dataDxfId="1"/>
    <tableColumn id="12" xr3:uid="{A9E8A53D-1E7B-46EC-AA7E-643E3A270E12}" name="Profit"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1628CF7-625F-4B95-8C5C-880023B4CEE7}" name="tblCleanData" displayName="tblCleanData" ref="A1:Q31" tableType="queryTable" totalsRowShown="0">
  <autoFilter ref="A1:Q31" xr:uid="{AC462EDC-6CB8-41A4-9D80-E608EAD9C81D}"/>
  <tableColumns count="17">
    <tableColumn id="1" xr3:uid="{0CDBDBA9-7B3C-454C-BE3E-F20737009F31}" uniqueName="1" name="Date" queryTableFieldId="1"/>
    <tableColumn id="2" xr3:uid="{0FA428EE-C090-441D-8C71-D3B95CD86E1F}" uniqueName="2" name="Order ID" queryTableFieldId="2"/>
    <tableColumn id="3" xr3:uid="{F2C5E4BA-E41C-4ADB-8206-24D169A3009C}" uniqueName="3" name="Customer Name" queryTableFieldId="3"/>
    <tableColumn id="4" xr3:uid="{667B4E2C-CD19-4B6E-9593-63A70F7F7BC1}" uniqueName="4" name="Product" queryTableFieldId="4"/>
    <tableColumn id="5" xr3:uid="{E2BD7079-34D4-4A35-86AD-05E57740C09A}" uniqueName="5" name="Category" queryTableFieldId="5"/>
    <tableColumn id="6" xr3:uid="{B1FACDF8-7CE7-45C7-974F-7BC985EA2ADD}" uniqueName="6" name="Region" queryTableFieldId="6"/>
    <tableColumn id="7" xr3:uid="{2AEEBD0B-9CFC-468F-8700-2D9C80857870}" uniqueName="7" name="Quantity" queryTableFieldId="7"/>
    <tableColumn id="8" xr3:uid="{D9A0373F-2D75-4429-8ED0-3B3A458009B6}" uniqueName="8" name="Unit Price" queryTableFieldId="8"/>
    <tableColumn id="9" xr3:uid="{8BD6F5BE-7BED-4ED6-8A24-44A1A5F251E4}" uniqueName="9" name="Discount" queryTableFieldId="9"/>
    <tableColumn id="10" xr3:uid="{4C2227FE-FF09-49E9-9A11-7762312C2B55}" uniqueName="10" name="Cost Price" queryTableFieldId="10"/>
    <tableColumn id="11" xr3:uid="{D2B9CFC1-4B63-4223-86A8-51410EF46BD6}" uniqueName="11" name="Sales" queryTableFieldId="11"/>
    <tableColumn id="12" xr3:uid="{F58A82E0-0B0F-4783-9D1A-747A79FF64A5}" uniqueName="12" name="Profit" queryTableFieldId="12"/>
    <tableColumn id="13" xr3:uid="{B2F4F3AF-2A80-4FBC-A82A-78E6EFA1C07E}" uniqueName="13" name="Year" queryTableFieldId="13"/>
    <tableColumn id="14" xr3:uid="{A430E9A1-D6D4-439D-B67A-0A2D7292AA63}" uniqueName="14" name="MonthNum" queryTableFieldId="14"/>
    <tableColumn id="15" xr3:uid="{6F02C457-60D8-45F2-BF55-27BC19A7B993}" uniqueName="15" name="Month" queryTableFieldId="15"/>
    <tableColumn id="16" xr3:uid="{202DED88-086A-41F8-95B3-05BC1CE893D1}" uniqueName="16" name="Quarter" queryTableFieldId="16"/>
    <tableColumn id="17" xr3:uid="{07D14F01-07ED-46A8-B7BC-E01622FD38A4}" uniqueName="17" name="YearMonth"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574B2-CF10-4D16-A159-780A52061B59}">
  <sheetPr codeName="Sheet1"/>
  <dimension ref="B3:C43"/>
  <sheetViews>
    <sheetView showGridLines="0" workbookViewId="0">
      <selection activeCell="C19" sqref="C19"/>
    </sheetView>
  </sheetViews>
  <sheetFormatPr defaultRowHeight="14.4" x14ac:dyDescent="0.3"/>
  <cols>
    <col min="3" max="3" width="101.109375" customWidth="1"/>
  </cols>
  <sheetData>
    <row r="3" spans="2:3" ht="23.4" x14ac:dyDescent="0.45">
      <c r="B3" s="42" t="s">
        <v>136</v>
      </c>
      <c r="C3" s="42"/>
    </row>
    <row r="4" spans="2:3" x14ac:dyDescent="0.3">
      <c r="C4" s="7"/>
    </row>
    <row r="5" spans="2:3" ht="15.6" x14ac:dyDescent="0.3">
      <c r="C5" s="41" t="s">
        <v>137</v>
      </c>
    </row>
    <row r="7" spans="2:3" x14ac:dyDescent="0.3">
      <c r="C7" s="7" t="s">
        <v>138</v>
      </c>
    </row>
    <row r="8" spans="2:3" x14ac:dyDescent="0.3">
      <c r="C8" t="s">
        <v>139</v>
      </c>
    </row>
    <row r="10" spans="2:3" x14ac:dyDescent="0.3">
      <c r="C10" s="7" t="s">
        <v>140</v>
      </c>
    </row>
    <row r="11" spans="2:3" x14ac:dyDescent="0.3">
      <c r="C11" t="s">
        <v>141</v>
      </c>
    </row>
    <row r="12" spans="2:3" x14ac:dyDescent="0.3">
      <c r="C12" t="s">
        <v>142</v>
      </c>
    </row>
    <row r="13" spans="2:3" x14ac:dyDescent="0.3">
      <c r="C13" t="s">
        <v>143</v>
      </c>
    </row>
    <row r="14" spans="2:3" x14ac:dyDescent="0.3">
      <c r="C14" t="s">
        <v>144</v>
      </c>
    </row>
    <row r="15" spans="2:3" x14ac:dyDescent="0.3">
      <c r="C15" t="s">
        <v>145</v>
      </c>
    </row>
    <row r="17" spans="3:3" x14ac:dyDescent="0.3">
      <c r="C17" s="7" t="s">
        <v>146</v>
      </c>
    </row>
    <row r="18" spans="3:3" x14ac:dyDescent="0.3">
      <c r="C18" t="s">
        <v>147</v>
      </c>
    </row>
    <row r="19" spans="3:3" x14ac:dyDescent="0.3">
      <c r="C19" t="s">
        <v>148</v>
      </c>
    </row>
    <row r="20" spans="3:3" x14ac:dyDescent="0.3">
      <c r="C20" t="s">
        <v>149</v>
      </c>
    </row>
    <row r="21" spans="3:3" x14ac:dyDescent="0.3">
      <c r="C21" t="s">
        <v>150</v>
      </c>
    </row>
    <row r="22" spans="3:3" x14ac:dyDescent="0.3">
      <c r="C22" t="s">
        <v>151</v>
      </c>
    </row>
    <row r="23" spans="3:3" x14ac:dyDescent="0.3">
      <c r="C23" t="s">
        <v>152</v>
      </c>
    </row>
    <row r="24" spans="3:3" x14ac:dyDescent="0.3">
      <c r="C24" t="s">
        <v>153</v>
      </c>
    </row>
    <row r="25" spans="3:3" x14ac:dyDescent="0.3">
      <c r="C25" t="s">
        <v>154</v>
      </c>
    </row>
    <row r="26" spans="3:3" x14ac:dyDescent="0.3">
      <c r="C26" t="s">
        <v>155</v>
      </c>
    </row>
    <row r="27" spans="3:3" x14ac:dyDescent="0.3">
      <c r="C27" t="s">
        <v>156</v>
      </c>
    </row>
    <row r="28" spans="3:3" x14ac:dyDescent="0.3">
      <c r="C28" t="s">
        <v>157</v>
      </c>
    </row>
    <row r="29" spans="3:3" x14ac:dyDescent="0.3">
      <c r="C29" t="s">
        <v>158</v>
      </c>
    </row>
    <row r="30" spans="3:3" x14ac:dyDescent="0.3">
      <c r="C30" t="s">
        <v>159</v>
      </c>
    </row>
    <row r="31" spans="3:3" x14ac:dyDescent="0.3">
      <c r="C31" t="s">
        <v>160</v>
      </c>
    </row>
    <row r="33" spans="3:3" x14ac:dyDescent="0.3">
      <c r="C33" s="7" t="s">
        <v>161</v>
      </c>
    </row>
    <row r="34" spans="3:3" x14ac:dyDescent="0.3">
      <c r="C34" t="s">
        <v>162</v>
      </c>
    </row>
    <row r="35" spans="3:3" x14ac:dyDescent="0.3">
      <c r="C35" t="s">
        <v>163</v>
      </c>
    </row>
    <row r="36" spans="3:3" x14ac:dyDescent="0.3">
      <c r="C36" t="s">
        <v>164</v>
      </c>
    </row>
    <row r="37" spans="3:3" x14ac:dyDescent="0.3">
      <c r="C37" t="s">
        <v>165</v>
      </c>
    </row>
    <row r="38" spans="3:3" x14ac:dyDescent="0.3">
      <c r="C38" t="s">
        <v>166</v>
      </c>
    </row>
    <row r="39" spans="3:3" x14ac:dyDescent="0.3">
      <c r="C39" t="s">
        <v>167</v>
      </c>
    </row>
    <row r="41" spans="3:3" x14ac:dyDescent="0.3">
      <c r="C41" s="7" t="s">
        <v>168</v>
      </c>
    </row>
    <row r="42" spans="3:3" x14ac:dyDescent="0.3">
      <c r="C42" t="s">
        <v>169</v>
      </c>
    </row>
    <row r="43" spans="3:3" x14ac:dyDescent="0.3">
      <c r="C43" t="s">
        <v>170</v>
      </c>
    </row>
  </sheetData>
  <mergeCells count="1">
    <mergeCell ref="B3:C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33E20-A485-44EC-B6CD-8CF6536CE6BB}">
  <sheetPr codeName="Sheet2"/>
  <dimension ref="A1:L32"/>
  <sheetViews>
    <sheetView workbookViewId="0">
      <pane ySplit="1" topLeftCell="A2" activePane="bottomLeft" state="frozen"/>
      <selection pane="bottomLeft" activeCell="F15" sqref="F15"/>
    </sheetView>
  </sheetViews>
  <sheetFormatPr defaultRowHeight="14.4" x14ac:dyDescent="0.3"/>
  <cols>
    <col min="1" max="1" width="14.109375" style="5" customWidth="1"/>
    <col min="2" max="2" width="15.109375" customWidth="1"/>
    <col min="3" max="3" width="16.6640625" customWidth="1"/>
    <col min="4" max="4" width="12.109375" customWidth="1"/>
    <col min="5" max="5" width="13.77734375" customWidth="1"/>
    <col min="7" max="7" width="10.21875" customWidth="1"/>
    <col min="8" max="8" width="11" customWidth="1"/>
    <col min="9" max="9" width="10.21875" customWidth="1"/>
    <col min="10" max="10" width="11.109375" customWidth="1"/>
    <col min="11" max="11" width="9.44140625" bestFit="1" customWidth="1"/>
  </cols>
  <sheetData>
    <row r="1" spans="1:12" x14ac:dyDescent="0.3">
      <c r="A1" s="5" t="s">
        <v>0</v>
      </c>
      <c r="B1" t="s">
        <v>1</v>
      </c>
      <c r="C1" t="s">
        <v>2</v>
      </c>
      <c r="D1" t="s">
        <v>3</v>
      </c>
      <c r="E1" t="s">
        <v>4</v>
      </c>
      <c r="F1" t="s">
        <v>5</v>
      </c>
      <c r="G1" t="s">
        <v>6</v>
      </c>
      <c r="H1" s="2" t="s">
        <v>7</v>
      </c>
      <c r="I1" s="4" t="s">
        <v>8</v>
      </c>
      <c r="J1" s="3" t="s">
        <v>9</v>
      </c>
      <c r="K1" s="3" t="s">
        <v>10</v>
      </c>
      <c r="L1" s="3" t="s">
        <v>11</v>
      </c>
    </row>
    <row r="2" spans="1:12" x14ac:dyDescent="0.3">
      <c r="A2" s="6">
        <v>46082</v>
      </c>
      <c r="B2" t="s">
        <v>12</v>
      </c>
      <c r="C2" t="s">
        <v>13</v>
      </c>
      <c r="D2" t="s">
        <v>14</v>
      </c>
      <c r="E2" t="s">
        <v>15</v>
      </c>
      <c r="F2" t="s">
        <v>16</v>
      </c>
      <c r="G2">
        <v>2</v>
      </c>
      <c r="H2" s="3">
        <v>1200</v>
      </c>
      <c r="I2" s="1">
        <v>0.1</v>
      </c>
      <c r="J2" s="3">
        <v>850</v>
      </c>
      <c r="K2" s="3">
        <v>2160</v>
      </c>
      <c r="L2" s="3">
        <v>460</v>
      </c>
    </row>
    <row r="3" spans="1:12" x14ac:dyDescent="0.3">
      <c r="A3" s="6">
        <v>46113</v>
      </c>
      <c r="B3" t="s">
        <v>17</v>
      </c>
      <c r="C3" t="s">
        <v>18</v>
      </c>
      <c r="D3" t="s">
        <v>19</v>
      </c>
      <c r="E3" t="s">
        <v>15</v>
      </c>
      <c r="F3" t="s">
        <v>20</v>
      </c>
      <c r="G3">
        <v>5</v>
      </c>
      <c r="H3" s="3">
        <v>25</v>
      </c>
      <c r="I3" s="1">
        <v>0</v>
      </c>
      <c r="J3" s="3">
        <v>15</v>
      </c>
      <c r="K3" s="3">
        <v>125</v>
      </c>
      <c r="L3" s="3">
        <v>50</v>
      </c>
    </row>
    <row r="4" spans="1:12" x14ac:dyDescent="0.3">
      <c r="A4" s="6">
        <v>46143</v>
      </c>
      <c r="B4" t="s">
        <v>21</v>
      </c>
      <c r="C4" t="s">
        <v>22</v>
      </c>
      <c r="D4" t="s">
        <v>23</v>
      </c>
      <c r="E4" t="s">
        <v>24</v>
      </c>
      <c r="F4" t="s">
        <v>25</v>
      </c>
      <c r="G4">
        <v>3</v>
      </c>
      <c r="H4" s="3">
        <v>150</v>
      </c>
      <c r="I4" s="1">
        <v>0.05</v>
      </c>
      <c r="J4" s="3">
        <v>100</v>
      </c>
      <c r="K4" s="3">
        <v>427.5</v>
      </c>
      <c r="L4" s="3">
        <v>127.5</v>
      </c>
    </row>
    <row r="5" spans="1:12" x14ac:dyDescent="0.3">
      <c r="A5" s="6">
        <v>46174</v>
      </c>
      <c r="B5" t="s">
        <v>26</v>
      </c>
      <c r="C5" t="s">
        <v>27</v>
      </c>
      <c r="D5" t="s">
        <v>28</v>
      </c>
      <c r="E5" t="s">
        <v>29</v>
      </c>
      <c r="F5" t="s">
        <v>30</v>
      </c>
      <c r="G5">
        <v>10</v>
      </c>
      <c r="H5" s="3">
        <v>15</v>
      </c>
      <c r="I5" s="1">
        <v>0.1</v>
      </c>
      <c r="J5" s="3">
        <v>8</v>
      </c>
      <c r="K5" s="3">
        <v>135</v>
      </c>
      <c r="L5" s="3">
        <v>55</v>
      </c>
    </row>
    <row r="6" spans="1:12" x14ac:dyDescent="0.3">
      <c r="A6" s="6">
        <v>46235</v>
      </c>
      <c r="B6" t="s">
        <v>31</v>
      </c>
      <c r="C6" t="s">
        <v>32</v>
      </c>
      <c r="D6" t="s">
        <v>33</v>
      </c>
      <c r="E6" t="s">
        <v>34</v>
      </c>
      <c r="F6" t="s">
        <v>16</v>
      </c>
      <c r="G6">
        <v>20</v>
      </c>
      <c r="H6" s="3">
        <v>5</v>
      </c>
      <c r="I6" s="1">
        <v>0</v>
      </c>
      <c r="J6" s="3">
        <v>2.5</v>
      </c>
      <c r="K6" s="3">
        <v>100</v>
      </c>
      <c r="L6" s="3">
        <v>50</v>
      </c>
    </row>
    <row r="7" spans="1:12" x14ac:dyDescent="0.3">
      <c r="A7" s="6">
        <v>46296</v>
      </c>
      <c r="B7" t="s">
        <v>35</v>
      </c>
      <c r="C7" t="s">
        <v>36</v>
      </c>
      <c r="D7" t="s">
        <v>37</v>
      </c>
      <c r="E7" t="s">
        <v>15</v>
      </c>
      <c r="F7" t="s">
        <v>20</v>
      </c>
      <c r="G7">
        <v>4</v>
      </c>
      <c r="H7" s="3">
        <v>45</v>
      </c>
      <c r="I7" s="1">
        <v>0.05</v>
      </c>
      <c r="J7" s="3">
        <v>28</v>
      </c>
      <c r="K7" s="3">
        <v>171</v>
      </c>
      <c r="L7" s="3">
        <v>59</v>
      </c>
    </row>
    <row r="8" spans="1:12" x14ac:dyDescent="0.3">
      <c r="A8" s="6">
        <v>46357</v>
      </c>
      <c r="B8" t="s">
        <v>38</v>
      </c>
      <c r="C8" t="s">
        <v>39</v>
      </c>
      <c r="D8" t="s">
        <v>40</v>
      </c>
      <c r="E8" t="s">
        <v>24</v>
      </c>
      <c r="F8" t="s">
        <v>25</v>
      </c>
      <c r="G8">
        <v>2</v>
      </c>
      <c r="H8" s="3">
        <v>220</v>
      </c>
      <c r="I8" s="1">
        <v>0</v>
      </c>
      <c r="J8" s="3">
        <v>150</v>
      </c>
      <c r="K8" s="3">
        <v>440</v>
      </c>
      <c r="L8" s="3">
        <v>140</v>
      </c>
    </row>
    <row r="9" spans="1:12" x14ac:dyDescent="0.3">
      <c r="A9" s="6" t="s">
        <v>74</v>
      </c>
      <c r="B9" t="s">
        <v>41</v>
      </c>
      <c r="C9" t="s">
        <v>42</v>
      </c>
      <c r="D9" t="s">
        <v>43</v>
      </c>
      <c r="E9" t="s">
        <v>29</v>
      </c>
      <c r="F9" t="s">
        <v>30</v>
      </c>
      <c r="G9">
        <v>6</v>
      </c>
      <c r="H9" s="3">
        <v>40</v>
      </c>
      <c r="I9" s="1">
        <v>0.15</v>
      </c>
      <c r="J9" s="3">
        <v>22</v>
      </c>
      <c r="K9" s="3">
        <v>204</v>
      </c>
      <c r="L9" s="3">
        <v>72</v>
      </c>
    </row>
    <row r="10" spans="1:12" x14ac:dyDescent="0.3">
      <c r="A10" s="6" t="s">
        <v>75</v>
      </c>
      <c r="B10" t="s">
        <v>44</v>
      </c>
      <c r="C10" t="s">
        <v>45</v>
      </c>
      <c r="D10" t="s">
        <v>46</v>
      </c>
      <c r="E10" t="s">
        <v>15</v>
      </c>
      <c r="F10" t="s">
        <v>16</v>
      </c>
      <c r="G10">
        <v>3</v>
      </c>
      <c r="H10" s="3">
        <v>180</v>
      </c>
      <c r="I10" s="1">
        <v>0.1</v>
      </c>
      <c r="J10" s="3">
        <v>120</v>
      </c>
      <c r="K10" s="3">
        <v>486</v>
      </c>
      <c r="L10" s="3">
        <v>126</v>
      </c>
    </row>
    <row r="11" spans="1:12" x14ac:dyDescent="0.3">
      <c r="A11" s="6" t="s">
        <v>76</v>
      </c>
      <c r="B11" t="s">
        <v>47</v>
      </c>
      <c r="C11" t="s">
        <v>48</v>
      </c>
      <c r="D11" t="s">
        <v>49</v>
      </c>
      <c r="E11" t="s">
        <v>34</v>
      </c>
      <c r="F11" t="s">
        <v>20</v>
      </c>
      <c r="G11">
        <v>15</v>
      </c>
      <c r="H11" s="3">
        <v>10</v>
      </c>
      <c r="I11" s="1">
        <v>0</v>
      </c>
      <c r="J11" s="3">
        <v>5</v>
      </c>
      <c r="K11" s="3">
        <v>150</v>
      </c>
      <c r="L11" s="3">
        <v>75</v>
      </c>
    </row>
    <row r="12" spans="1:12" x14ac:dyDescent="0.3">
      <c r="A12" s="6" t="s">
        <v>77</v>
      </c>
      <c r="B12" t="s">
        <v>50</v>
      </c>
      <c r="C12" t="s">
        <v>13</v>
      </c>
      <c r="D12" t="s">
        <v>51</v>
      </c>
      <c r="E12" t="s">
        <v>15</v>
      </c>
      <c r="F12" t="s">
        <v>25</v>
      </c>
      <c r="G12">
        <v>5</v>
      </c>
      <c r="H12" s="3">
        <v>60</v>
      </c>
      <c r="I12" s="1">
        <v>0.05</v>
      </c>
      <c r="J12" s="3">
        <v>35</v>
      </c>
      <c r="K12" s="3">
        <v>285</v>
      </c>
      <c r="L12" s="3">
        <v>110</v>
      </c>
    </row>
    <row r="13" spans="1:12" x14ac:dyDescent="0.3">
      <c r="A13" s="6" t="s">
        <v>78</v>
      </c>
      <c r="B13" t="s">
        <v>52</v>
      </c>
      <c r="C13" t="s">
        <v>18</v>
      </c>
      <c r="D13" t="s">
        <v>53</v>
      </c>
      <c r="E13" t="s">
        <v>24</v>
      </c>
      <c r="F13" t="s">
        <v>30</v>
      </c>
      <c r="G13">
        <v>2</v>
      </c>
      <c r="H13" s="3">
        <v>95</v>
      </c>
      <c r="I13" s="1">
        <v>0</v>
      </c>
      <c r="J13" s="3">
        <v>60</v>
      </c>
      <c r="K13" s="3">
        <v>190</v>
      </c>
      <c r="L13" s="3">
        <v>70</v>
      </c>
    </row>
    <row r="14" spans="1:12" x14ac:dyDescent="0.3">
      <c r="A14" s="6" t="s">
        <v>79</v>
      </c>
      <c r="B14" t="s">
        <v>54</v>
      </c>
      <c r="C14" t="s">
        <v>22</v>
      </c>
      <c r="D14" t="s">
        <v>55</v>
      </c>
      <c r="E14" t="s">
        <v>29</v>
      </c>
      <c r="F14" t="s">
        <v>16</v>
      </c>
      <c r="G14">
        <v>4</v>
      </c>
      <c r="H14" s="3">
        <v>80</v>
      </c>
      <c r="I14" s="1">
        <v>0.1</v>
      </c>
      <c r="J14" s="3">
        <v>45</v>
      </c>
      <c r="K14" s="3">
        <v>288</v>
      </c>
      <c r="L14" s="3">
        <v>108</v>
      </c>
    </row>
    <row r="15" spans="1:12" x14ac:dyDescent="0.3">
      <c r="A15" s="6" t="s">
        <v>80</v>
      </c>
      <c r="B15" t="s">
        <v>56</v>
      </c>
      <c r="C15" t="s">
        <v>27</v>
      </c>
      <c r="D15" t="s">
        <v>57</v>
      </c>
      <c r="E15" t="s">
        <v>34</v>
      </c>
      <c r="F15" t="s">
        <v>20</v>
      </c>
      <c r="G15">
        <v>8</v>
      </c>
      <c r="H15" s="3">
        <v>35</v>
      </c>
      <c r="I15" s="1">
        <v>0</v>
      </c>
      <c r="J15" s="3">
        <v>18</v>
      </c>
      <c r="K15" s="3">
        <v>280</v>
      </c>
      <c r="L15" s="3">
        <v>136</v>
      </c>
    </row>
    <row r="16" spans="1:12" x14ac:dyDescent="0.3">
      <c r="A16" s="6" t="s">
        <v>81</v>
      </c>
      <c r="B16" t="s">
        <v>58</v>
      </c>
      <c r="C16" t="s">
        <v>32</v>
      </c>
      <c r="D16" t="s">
        <v>14</v>
      </c>
      <c r="E16" t="s">
        <v>15</v>
      </c>
      <c r="F16" t="s">
        <v>25</v>
      </c>
      <c r="G16">
        <v>1</v>
      </c>
      <c r="H16" s="3">
        <v>1200</v>
      </c>
      <c r="I16" s="1">
        <v>0</v>
      </c>
      <c r="J16" s="3">
        <v>850</v>
      </c>
      <c r="K16" s="3">
        <v>1200</v>
      </c>
      <c r="L16" s="3">
        <v>350</v>
      </c>
    </row>
    <row r="17" spans="1:12" x14ac:dyDescent="0.3">
      <c r="A17" s="6">
        <v>46055</v>
      </c>
      <c r="B17" t="s">
        <v>59</v>
      </c>
      <c r="C17" t="s">
        <v>36</v>
      </c>
      <c r="D17" t="s">
        <v>19</v>
      </c>
      <c r="E17" t="s">
        <v>15</v>
      </c>
      <c r="F17" t="s">
        <v>30</v>
      </c>
      <c r="G17">
        <v>10</v>
      </c>
      <c r="H17" s="3">
        <v>25</v>
      </c>
      <c r="I17" s="1">
        <v>0.1</v>
      </c>
      <c r="J17" s="3">
        <v>15</v>
      </c>
      <c r="K17" s="3">
        <v>225</v>
      </c>
      <c r="L17" s="3">
        <v>75</v>
      </c>
    </row>
    <row r="18" spans="1:12" x14ac:dyDescent="0.3">
      <c r="A18" s="6">
        <v>46114</v>
      </c>
      <c r="B18" t="s">
        <v>60</v>
      </c>
      <c r="C18" t="s">
        <v>39</v>
      </c>
      <c r="D18" t="s">
        <v>23</v>
      </c>
      <c r="E18" t="s">
        <v>24</v>
      </c>
      <c r="F18" t="s">
        <v>16</v>
      </c>
      <c r="G18">
        <v>4</v>
      </c>
      <c r="H18" s="3">
        <v>150</v>
      </c>
      <c r="I18" s="1">
        <v>0</v>
      </c>
      <c r="J18" s="3">
        <v>100</v>
      </c>
      <c r="K18" s="3">
        <v>600</v>
      </c>
      <c r="L18" s="3">
        <v>200</v>
      </c>
    </row>
    <row r="19" spans="1:12" x14ac:dyDescent="0.3">
      <c r="A19" s="6">
        <v>46175</v>
      </c>
      <c r="B19" t="s">
        <v>61</v>
      </c>
      <c r="C19" t="s">
        <v>42</v>
      </c>
      <c r="D19" t="s">
        <v>28</v>
      </c>
      <c r="E19" t="s">
        <v>29</v>
      </c>
      <c r="F19" t="s">
        <v>20</v>
      </c>
      <c r="G19">
        <v>12</v>
      </c>
      <c r="H19" s="3">
        <v>15</v>
      </c>
      <c r="I19" s="1">
        <v>0.05</v>
      </c>
      <c r="J19" s="3">
        <v>8</v>
      </c>
      <c r="K19" s="3">
        <v>171</v>
      </c>
      <c r="L19" s="3">
        <v>75</v>
      </c>
    </row>
    <row r="20" spans="1:12" x14ac:dyDescent="0.3">
      <c r="A20" s="6">
        <v>46236</v>
      </c>
      <c r="B20" t="s">
        <v>62</v>
      </c>
      <c r="C20" t="s">
        <v>45</v>
      </c>
      <c r="D20" t="s">
        <v>33</v>
      </c>
      <c r="E20" t="s">
        <v>34</v>
      </c>
      <c r="F20" t="s">
        <v>25</v>
      </c>
      <c r="G20">
        <v>25</v>
      </c>
      <c r="H20" s="3">
        <v>5</v>
      </c>
      <c r="I20" s="1">
        <v>0</v>
      </c>
      <c r="J20" s="3">
        <v>2.5</v>
      </c>
      <c r="K20" s="3">
        <v>125</v>
      </c>
      <c r="L20" s="3">
        <v>62.5</v>
      </c>
    </row>
    <row r="21" spans="1:12" x14ac:dyDescent="0.3">
      <c r="A21" s="6">
        <v>46297</v>
      </c>
      <c r="B21" t="s">
        <v>63</v>
      </c>
      <c r="C21" t="s">
        <v>48</v>
      </c>
      <c r="D21" t="s">
        <v>37</v>
      </c>
      <c r="E21" t="s">
        <v>15</v>
      </c>
      <c r="F21" t="s">
        <v>30</v>
      </c>
      <c r="G21">
        <v>6</v>
      </c>
      <c r="H21" s="3">
        <v>45</v>
      </c>
      <c r="I21" s="1">
        <v>0</v>
      </c>
      <c r="J21" s="3">
        <v>28</v>
      </c>
      <c r="K21" s="3">
        <v>270</v>
      </c>
      <c r="L21" s="3">
        <v>102</v>
      </c>
    </row>
    <row r="22" spans="1:12" x14ac:dyDescent="0.3">
      <c r="A22" s="6">
        <v>46358</v>
      </c>
      <c r="B22" t="s">
        <v>64</v>
      </c>
      <c r="C22" t="s">
        <v>13</v>
      </c>
      <c r="D22" t="s">
        <v>40</v>
      </c>
      <c r="E22" t="s">
        <v>24</v>
      </c>
      <c r="F22" t="s">
        <v>16</v>
      </c>
      <c r="G22">
        <v>1</v>
      </c>
      <c r="H22" s="3">
        <v>220</v>
      </c>
      <c r="I22" s="1">
        <v>0</v>
      </c>
      <c r="J22" s="3">
        <v>150</v>
      </c>
      <c r="K22" s="3">
        <v>220</v>
      </c>
      <c r="L22" s="3">
        <v>70</v>
      </c>
    </row>
    <row r="23" spans="1:12" x14ac:dyDescent="0.3">
      <c r="A23" s="6" t="s">
        <v>82</v>
      </c>
      <c r="B23" t="s">
        <v>65</v>
      </c>
      <c r="C23" t="s">
        <v>18</v>
      </c>
      <c r="D23" t="s">
        <v>43</v>
      </c>
      <c r="E23" t="s">
        <v>29</v>
      </c>
      <c r="F23" t="s">
        <v>20</v>
      </c>
      <c r="G23">
        <v>5</v>
      </c>
      <c r="H23" s="3">
        <v>40</v>
      </c>
      <c r="I23" s="1">
        <v>0.1</v>
      </c>
      <c r="J23" s="3">
        <v>22</v>
      </c>
      <c r="K23" s="3">
        <v>180</v>
      </c>
      <c r="L23" s="3">
        <v>70</v>
      </c>
    </row>
    <row r="24" spans="1:12" x14ac:dyDescent="0.3">
      <c r="A24" s="6" t="s">
        <v>83</v>
      </c>
      <c r="B24" t="s">
        <v>66</v>
      </c>
      <c r="C24" t="s">
        <v>22</v>
      </c>
      <c r="D24" t="s">
        <v>46</v>
      </c>
      <c r="E24" t="s">
        <v>15</v>
      </c>
      <c r="F24" t="s">
        <v>25</v>
      </c>
      <c r="G24">
        <v>2</v>
      </c>
      <c r="H24" s="3">
        <v>180</v>
      </c>
      <c r="I24" s="1">
        <v>0.05</v>
      </c>
      <c r="J24" s="3">
        <v>120</v>
      </c>
      <c r="K24" s="3">
        <v>342</v>
      </c>
      <c r="L24" s="3">
        <v>102</v>
      </c>
    </row>
    <row r="25" spans="1:12" x14ac:dyDescent="0.3">
      <c r="A25" s="6" t="s">
        <v>84</v>
      </c>
      <c r="B25" t="s">
        <v>67</v>
      </c>
      <c r="C25" t="s">
        <v>27</v>
      </c>
      <c r="D25" t="s">
        <v>49</v>
      </c>
      <c r="E25" t="s">
        <v>34</v>
      </c>
      <c r="F25" t="s">
        <v>30</v>
      </c>
      <c r="G25">
        <v>18</v>
      </c>
      <c r="H25" s="3">
        <v>10</v>
      </c>
      <c r="I25" s="1">
        <v>0</v>
      </c>
      <c r="J25" s="3">
        <v>5</v>
      </c>
      <c r="K25" s="3">
        <v>180</v>
      </c>
      <c r="L25" s="3">
        <v>90</v>
      </c>
    </row>
    <row r="26" spans="1:12" x14ac:dyDescent="0.3">
      <c r="A26" s="6" t="s">
        <v>85</v>
      </c>
      <c r="B26" t="s">
        <v>68</v>
      </c>
      <c r="C26" t="s">
        <v>32</v>
      </c>
      <c r="D26" t="s">
        <v>51</v>
      </c>
      <c r="E26" t="s">
        <v>15</v>
      </c>
      <c r="F26" t="s">
        <v>16</v>
      </c>
      <c r="G26">
        <v>3</v>
      </c>
      <c r="H26" s="3">
        <v>60</v>
      </c>
      <c r="I26" s="1">
        <v>0</v>
      </c>
      <c r="J26" s="3">
        <v>35</v>
      </c>
      <c r="K26" s="3">
        <v>180</v>
      </c>
      <c r="L26" s="3">
        <v>75</v>
      </c>
    </row>
    <row r="27" spans="1:12" x14ac:dyDescent="0.3">
      <c r="A27" s="6" t="s">
        <v>86</v>
      </c>
      <c r="B27" t="s">
        <v>69</v>
      </c>
      <c r="C27" t="s">
        <v>36</v>
      </c>
      <c r="D27" t="s">
        <v>53</v>
      </c>
      <c r="E27" t="s">
        <v>24</v>
      </c>
      <c r="F27" t="s">
        <v>20</v>
      </c>
      <c r="G27">
        <v>3</v>
      </c>
      <c r="H27" s="3">
        <v>95</v>
      </c>
      <c r="I27" s="1">
        <v>0.05</v>
      </c>
      <c r="J27" s="3">
        <v>60</v>
      </c>
      <c r="K27" s="3">
        <v>270.75</v>
      </c>
      <c r="L27" s="3">
        <v>90.75</v>
      </c>
    </row>
    <row r="28" spans="1:12" x14ac:dyDescent="0.3">
      <c r="A28" s="6" t="s">
        <v>87</v>
      </c>
      <c r="B28" t="s">
        <v>70</v>
      </c>
      <c r="C28" t="s">
        <v>39</v>
      </c>
      <c r="D28" t="s">
        <v>55</v>
      </c>
      <c r="E28" t="s">
        <v>29</v>
      </c>
      <c r="F28" t="s">
        <v>25</v>
      </c>
      <c r="G28">
        <v>2</v>
      </c>
      <c r="H28" s="3">
        <v>80</v>
      </c>
      <c r="I28" s="1">
        <v>0</v>
      </c>
      <c r="J28" s="3">
        <v>45</v>
      </c>
      <c r="K28" s="3">
        <v>160</v>
      </c>
      <c r="L28" s="3">
        <v>70</v>
      </c>
    </row>
    <row r="29" spans="1:12" x14ac:dyDescent="0.3">
      <c r="A29" s="6">
        <v>46025</v>
      </c>
      <c r="B29" t="s">
        <v>71</v>
      </c>
      <c r="C29" t="s">
        <v>42</v>
      </c>
      <c r="D29" t="s">
        <v>57</v>
      </c>
      <c r="E29" t="s">
        <v>34</v>
      </c>
      <c r="F29" t="s">
        <v>30</v>
      </c>
      <c r="G29">
        <v>10</v>
      </c>
      <c r="H29" s="3">
        <v>35</v>
      </c>
      <c r="I29" s="1">
        <v>0.1</v>
      </c>
      <c r="J29" s="3">
        <v>18</v>
      </c>
      <c r="K29" s="3">
        <v>315</v>
      </c>
      <c r="L29" s="3">
        <v>135</v>
      </c>
    </row>
    <row r="30" spans="1:12" x14ac:dyDescent="0.3">
      <c r="A30" s="6">
        <v>46084</v>
      </c>
      <c r="B30" t="s">
        <v>72</v>
      </c>
      <c r="C30" t="s">
        <v>45</v>
      </c>
      <c r="D30" t="s">
        <v>14</v>
      </c>
      <c r="E30" t="s">
        <v>15</v>
      </c>
      <c r="F30" t="s">
        <v>16</v>
      </c>
      <c r="G30">
        <v>2</v>
      </c>
      <c r="H30" s="3">
        <v>1200</v>
      </c>
      <c r="I30" s="1">
        <v>0.05</v>
      </c>
      <c r="J30" s="3">
        <v>850</v>
      </c>
      <c r="K30" s="3">
        <v>2280</v>
      </c>
      <c r="L30" s="3">
        <v>580</v>
      </c>
    </row>
    <row r="31" spans="1:12" x14ac:dyDescent="0.3">
      <c r="A31" s="6">
        <v>46145</v>
      </c>
      <c r="B31" t="s">
        <v>73</v>
      </c>
      <c r="C31" t="s">
        <v>48</v>
      </c>
      <c r="D31" t="s">
        <v>19</v>
      </c>
      <c r="E31" t="s">
        <v>15</v>
      </c>
      <c r="F31" t="s">
        <v>20</v>
      </c>
      <c r="G31">
        <v>8</v>
      </c>
      <c r="H31" s="3">
        <v>25</v>
      </c>
      <c r="I31" s="1">
        <v>0</v>
      </c>
      <c r="J31" s="3">
        <v>15</v>
      </c>
      <c r="K31" s="3">
        <v>200</v>
      </c>
      <c r="L31" s="3">
        <v>80</v>
      </c>
    </row>
    <row r="32" spans="1:12" x14ac:dyDescent="0.3">
      <c r="A32" s="6"/>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DF080-8E97-47AD-ADFC-A0BED1DA4F15}">
  <sheetPr codeName="Sheet3"/>
  <dimension ref="A1:Q31"/>
  <sheetViews>
    <sheetView topLeftCell="A3" workbookViewId="0">
      <selection activeCell="C15" sqref="C15"/>
    </sheetView>
  </sheetViews>
  <sheetFormatPr defaultRowHeight="14.4" x14ac:dyDescent="0.3"/>
  <cols>
    <col min="1" max="1" width="7.109375" bestFit="1" customWidth="1"/>
    <col min="2" max="2" width="10.21875" bestFit="1" customWidth="1"/>
    <col min="3" max="3" width="16.88671875" bestFit="1" customWidth="1"/>
    <col min="4" max="4" width="11.109375" bestFit="1" customWidth="1"/>
    <col min="5" max="5" width="10.77734375" bestFit="1" customWidth="1"/>
    <col min="6" max="6" width="9" bestFit="1" customWidth="1"/>
    <col min="7" max="7" width="10.5546875" bestFit="1" customWidth="1"/>
    <col min="8" max="8" width="11.33203125" bestFit="1" customWidth="1"/>
    <col min="9" max="9" width="10.5546875" bestFit="1" customWidth="1"/>
    <col min="10" max="10" width="11.44140625" bestFit="1" customWidth="1"/>
    <col min="11" max="11" width="7.44140625" bestFit="1" customWidth="1"/>
    <col min="12" max="12" width="7.88671875" bestFit="1" customWidth="1"/>
    <col min="13" max="13" width="6.88671875" bestFit="1" customWidth="1"/>
    <col min="14" max="14" width="13.109375" bestFit="1" customWidth="1"/>
    <col min="15" max="15" width="9.33203125" bestFit="1" customWidth="1"/>
    <col min="16" max="16" width="9.6640625" bestFit="1" customWidth="1"/>
    <col min="17" max="17" width="12.6640625" bestFit="1" customWidth="1"/>
  </cols>
  <sheetData>
    <row r="1" spans="1:17" x14ac:dyDescent="0.3">
      <c r="A1" t="s">
        <v>0</v>
      </c>
      <c r="B1" t="s">
        <v>1</v>
      </c>
      <c r="C1" t="s">
        <v>2</v>
      </c>
      <c r="D1" t="s">
        <v>3</v>
      </c>
      <c r="E1" t="s">
        <v>4</v>
      </c>
      <c r="F1" t="s">
        <v>5</v>
      </c>
      <c r="G1" t="s">
        <v>6</v>
      </c>
      <c r="H1" t="s">
        <v>7</v>
      </c>
      <c r="I1" t="s">
        <v>8</v>
      </c>
      <c r="J1" t="s">
        <v>9</v>
      </c>
      <c r="K1" t="s">
        <v>10</v>
      </c>
      <c r="L1" t="s">
        <v>11</v>
      </c>
      <c r="M1" t="s">
        <v>99</v>
      </c>
      <c r="N1" t="s">
        <v>100</v>
      </c>
      <c r="O1" t="s">
        <v>101</v>
      </c>
      <c r="P1" t="s">
        <v>102</v>
      </c>
      <c r="Q1" t="s">
        <v>103</v>
      </c>
    </row>
    <row r="2" spans="1:17" x14ac:dyDescent="0.3">
      <c r="A2">
        <v>46082</v>
      </c>
      <c r="B2" t="s">
        <v>12</v>
      </c>
      <c r="C2" t="s">
        <v>13</v>
      </c>
      <c r="D2" t="s">
        <v>14</v>
      </c>
      <c r="E2" t="s">
        <v>15</v>
      </c>
      <c r="F2" t="s">
        <v>16</v>
      </c>
      <c r="G2">
        <v>2</v>
      </c>
      <c r="H2">
        <v>1200</v>
      </c>
      <c r="I2">
        <v>0.1</v>
      </c>
      <c r="J2">
        <v>850</v>
      </c>
      <c r="K2">
        <v>2160</v>
      </c>
      <c r="L2">
        <v>460</v>
      </c>
      <c r="M2">
        <v>2026</v>
      </c>
      <c r="N2">
        <v>3</v>
      </c>
      <c r="O2" t="s">
        <v>104</v>
      </c>
      <c r="P2" t="s">
        <v>105</v>
      </c>
      <c r="Q2" t="s">
        <v>106</v>
      </c>
    </row>
    <row r="3" spans="1:17" x14ac:dyDescent="0.3">
      <c r="A3">
        <v>46113</v>
      </c>
      <c r="B3" t="s">
        <v>17</v>
      </c>
      <c r="C3" t="s">
        <v>18</v>
      </c>
      <c r="D3" t="s">
        <v>19</v>
      </c>
      <c r="E3" t="s">
        <v>15</v>
      </c>
      <c r="F3" t="s">
        <v>20</v>
      </c>
      <c r="G3">
        <v>5</v>
      </c>
      <c r="H3">
        <v>25</v>
      </c>
      <c r="I3">
        <v>0</v>
      </c>
      <c r="J3">
        <v>15</v>
      </c>
      <c r="K3">
        <v>125</v>
      </c>
      <c r="L3">
        <v>50</v>
      </c>
      <c r="M3">
        <v>2026</v>
      </c>
      <c r="N3">
        <v>4</v>
      </c>
      <c r="O3" t="s">
        <v>107</v>
      </c>
      <c r="P3" t="s">
        <v>108</v>
      </c>
      <c r="Q3" t="s">
        <v>109</v>
      </c>
    </row>
    <row r="4" spans="1:17" x14ac:dyDescent="0.3">
      <c r="A4">
        <v>46143</v>
      </c>
      <c r="B4" t="s">
        <v>21</v>
      </c>
      <c r="C4" t="s">
        <v>22</v>
      </c>
      <c r="D4" t="s">
        <v>23</v>
      </c>
      <c r="E4" t="s">
        <v>24</v>
      </c>
      <c r="F4" t="s">
        <v>25</v>
      </c>
      <c r="G4">
        <v>3</v>
      </c>
      <c r="H4">
        <v>150</v>
      </c>
      <c r="I4">
        <v>0.05</v>
      </c>
      <c r="J4">
        <v>100</v>
      </c>
      <c r="K4">
        <v>427.5</v>
      </c>
      <c r="L4">
        <v>127.5</v>
      </c>
      <c r="M4">
        <v>2026</v>
      </c>
      <c r="N4">
        <v>5</v>
      </c>
      <c r="O4" t="s">
        <v>110</v>
      </c>
      <c r="P4" t="s">
        <v>108</v>
      </c>
      <c r="Q4" t="s">
        <v>111</v>
      </c>
    </row>
    <row r="5" spans="1:17" x14ac:dyDescent="0.3">
      <c r="A5">
        <v>46174</v>
      </c>
      <c r="B5" t="s">
        <v>26</v>
      </c>
      <c r="C5" t="s">
        <v>27</v>
      </c>
      <c r="D5" t="s">
        <v>28</v>
      </c>
      <c r="E5" t="s">
        <v>29</v>
      </c>
      <c r="F5" t="s">
        <v>30</v>
      </c>
      <c r="G5">
        <v>10</v>
      </c>
      <c r="H5">
        <v>15</v>
      </c>
      <c r="I5">
        <v>0.1</v>
      </c>
      <c r="J5">
        <v>8</v>
      </c>
      <c r="K5">
        <v>135</v>
      </c>
      <c r="L5">
        <v>55</v>
      </c>
      <c r="M5">
        <v>2026</v>
      </c>
      <c r="N5">
        <v>6</v>
      </c>
      <c r="O5" t="s">
        <v>112</v>
      </c>
      <c r="P5" t="s">
        <v>108</v>
      </c>
      <c r="Q5" t="s">
        <v>113</v>
      </c>
    </row>
    <row r="6" spans="1:17" x14ac:dyDescent="0.3">
      <c r="A6">
        <v>46235</v>
      </c>
      <c r="B6" t="s">
        <v>31</v>
      </c>
      <c r="C6" t="s">
        <v>32</v>
      </c>
      <c r="D6" t="s">
        <v>33</v>
      </c>
      <c r="E6" t="s">
        <v>34</v>
      </c>
      <c r="F6" t="s">
        <v>16</v>
      </c>
      <c r="G6">
        <v>20</v>
      </c>
      <c r="H6">
        <v>5</v>
      </c>
      <c r="I6">
        <v>0</v>
      </c>
      <c r="J6">
        <v>2.5</v>
      </c>
      <c r="K6">
        <v>100</v>
      </c>
      <c r="L6">
        <v>50</v>
      </c>
      <c r="M6">
        <v>2026</v>
      </c>
      <c r="N6">
        <v>8</v>
      </c>
      <c r="O6" t="s">
        <v>114</v>
      </c>
      <c r="P6" t="s">
        <v>115</v>
      </c>
      <c r="Q6" t="s">
        <v>116</v>
      </c>
    </row>
    <row r="7" spans="1:17" x14ac:dyDescent="0.3">
      <c r="A7">
        <v>46296</v>
      </c>
      <c r="B7" t="s">
        <v>35</v>
      </c>
      <c r="C7" t="s">
        <v>36</v>
      </c>
      <c r="D7" t="s">
        <v>37</v>
      </c>
      <c r="E7" t="s">
        <v>15</v>
      </c>
      <c r="F7" t="s">
        <v>20</v>
      </c>
      <c r="G7">
        <v>4</v>
      </c>
      <c r="H7">
        <v>45</v>
      </c>
      <c r="I7">
        <v>0.05</v>
      </c>
      <c r="J7">
        <v>28</v>
      </c>
      <c r="K7">
        <v>171</v>
      </c>
      <c r="L7">
        <v>59</v>
      </c>
      <c r="M7">
        <v>2026</v>
      </c>
      <c r="N7">
        <v>10</v>
      </c>
      <c r="O7" t="s">
        <v>117</v>
      </c>
      <c r="P7" t="s">
        <v>118</v>
      </c>
      <c r="Q7" t="s">
        <v>119</v>
      </c>
    </row>
    <row r="8" spans="1:17" x14ac:dyDescent="0.3">
      <c r="A8">
        <v>46357</v>
      </c>
      <c r="B8" t="s">
        <v>38</v>
      </c>
      <c r="C8" t="s">
        <v>39</v>
      </c>
      <c r="D8" t="s">
        <v>40</v>
      </c>
      <c r="E8" t="s">
        <v>24</v>
      </c>
      <c r="F8" t="s">
        <v>25</v>
      </c>
      <c r="G8">
        <v>2</v>
      </c>
      <c r="H8">
        <v>220</v>
      </c>
      <c r="I8">
        <v>0</v>
      </c>
      <c r="J8">
        <v>150</v>
      </c>
      <c r="K8">
        <v>440</v>
      </c>
      <c r="L8">
        <v>140</v>
      </c>
      <c r="M8">
        <v>2026</v>
      </c>
      <c r="N8">
        <v>12</v>
      </c>
      <c r="O8" t="s">
        <v>120</v>
      </c>
      <c r="P8" t="s">
        <v>118</v>
      </c>
      <c r="Q8" t="s">
        <v>121</v>
      </c>
    </row>
    <row r="9" spans="1:17" x14ac:dyDescent="0.3">
      <c r="A9">
        <v>46036</v>
      </c>
      <c r="B9" t="s">
        <v>41</v>
      </c>
      <c r="C9" t="s">
        <v>42</v>
      </c>
      <c r="D9" t="s">
        <v>43</v>
      </c>
      <c r="E9" t="s">
        <v>29</v>
      </c>
      <c r="F9" t="s">
        <v>30</v>
      </c>
      <c r="G9">
        <v>6</v>
      </c>
      <c r="H9">
        <v>40</v>
      </c>
      <c r="I9">
        <v>0.15</v>
      </c>
      <c r="J9">
        <v>22</v>
      </c>
      <c r="K9">
        <v>204</v>
      </c>
      <c r="L9">
        <v>72</v>
      </c>
      <c r="M9">
        <v>2026</v>
      </c>
      <c r="N9">
        <v>1</v>
      </c>
      <c r="O9" t="s">
        <v>122</v>
      </c>
      <c r="P9" t="s">
        <v>105</v>
      </c>
      <c r="Q9" t="s">
        <v>123</v>
      </c>
    </row>
    <row r="10" spans="1:17" x14ac:dyDescent="0.3">
      <c r="A10">
        <v>46037</v>
      </c>
      <c r="B10" t="s">
        <v>44</v>
      </c>
      <c r="C10" t="s">
        <v>45</v>
      </c>
      <c r="D10" t="s">
        <v>46</v>
      </c>
      <c r="E10" t="s">
        <v>15</v>
      </c>
      <c r="F10" t="s">
        <v>16</v>
      </c>
      <c r="G10">
        <v>3</v>
      </c>
      <c r="H10">
        <v>180</v>
      </c>
      <c r="I10">
        <v>0.1</v>
      </c>
      <c r="J10">
        <v>120</v>
      </c>
      <c r="K10">
        <v>486</v>
      </c>
      <c r="L10">
        <v>126</v>
      </c>
      <c r="M10">
        <v>2026</v>
      </c>
      <c r="N10">
        <v>1</v>
      </c>
      <c r="O10" t="s">
        <v>122</v>
      </c>
      <c r="P10" t="s">
        <v>105</v>
      </c>
      <c r="Q10" t="s">
        <v>123</v>
      </c>
    </row>
    <row r="11" spans="1:17" x14ac:dyDescent="0.3">
      <c r="A11">
        <v>46039</v>
      </c>
      <c r="B11" t="s">
        <v>47</v>
      </c>
      <c r="C11" t="s">
        <v>48</v>
      </c>
      <c r="D11" t="s">
        <v>49</v>
      </c>
      <c r="E11" t="s">
        <v>34</v>
      </c>
      <c r="F11" t="s">
        <v>20</v>
      </c>
      <c r="G11">
        <v>15</v>
      </c>
      <c r="H11">
        <v>10</v>
      </c>
      <c r="I11">
        <v>0</v>
      </c>
      <c r="J11">
        <v>5</v>
      </c>
      <c r="K11">
        <v>150</v>
      </c>
      <c r="L11">
        <v>75</v>
      </c>
      <c r="M11">
        <v>2026</v>
      </c>
      <c r="N11">
        <v>1</v>
      </c>
      <c r="O11" t="s">
        <v>122</v>
      </c>
      <c r="P11" t="s">
        <v>105</v>
      </c>
      <c r="Q11" t="s">
        <v>123</v>
      </c>
    </row>
    <row r="12" spans="1:17" x14ac:dyDescent="0.3">
      <c r="A12">
        <v>46041</v>
      </c>
      <c r="B12" t="s">
        <v>50</v>
      </c>
      <c r="C12" t="s">
        <v>13</v>
      </c>
      <c r="D12" t="s">
        <v>51</v>
      </c>
      <c r="E12" t="s">
        <v>15</v>
      </c>
      <c r="F12" t="s">
        <v>25</v>
      </c>
      <c r="G12">
        <v>5</v>
      </c>
      <c r="H12">
        <v>60</v>
      </c>
      <c r="I12">
        <v>0.05</v>
      </c>
      <c r="J12">
        <v>35</v>
      </c>
      <c r="K12">
        <v>285</v>
      </c>
      <c r="L12">
        <v>110</v>
      </c>
      <c r="M12">
        <v>2026</v>
      </c>
      <c r="N12">
        <v>1</v>
      </c>
      <c r="O12" t="s">
        <v>122</v>
      </c>
      <c r="P12" t="s">
        <v>105</v>
      </c>
      <c r="Q12" t="s">
        <v>123</v>
      </c>
    </row>
    <row r="13" spans="1:17" x14ac:dyDescent="0.3">
      <c r="A13">
        <v>46043</v>
      </c>
      <c r="B13" t="s">
        <v>52</v>
      </c>
      <c r="C13" t="s">
        <v>18</v>
      </c>
      <c r="D13" t="s">
        <v>53</v>
      </c>
      <c r="E13" t="s">
        <v>24</v>
      </c>
      <c r="F13" t="s">
        <v>30</v>
      </c>
      <c r="G13">
        <v>2</v>
      </c>
      <c r="H13">
        <v>95</v>
      </c>
      <c r="I13">
        <v>0</v>
      </c>
      <c r="J13">
        <v>60</v>
      </c>
      <c r="K13">
        <v>190</v>
      </c>
      <c r="L13">
        <v>70</v>
      </c>
      <c r="M13">
        <v>2026</v>
      </c>
      <c r="N13">
        <v>1</v>
      </c>
      <c r="O13" t="s">
        <v>122</v>
      </c>
      <c r="P13" t="s">
        <v>105</v>
      </c>
      <c r="Q13" t="s">
        <v>123</v>
      </c>
    </row>
    <row r="14" spans="1:17" x14ac:dyDescent="0.3">
      <c r="A14">
        <v>46045</v>
      </c>
      <c r="B14" t="s">
        <v>54</v>
      </c>
      <c r="C14" t="s">
        <v>22</v>
      </c>
      <c r="D14" t="s">
        <v>55</v>
      </c>
      <c r="E14" t="s">
        <v>29</v>
      </c>
      <c r="F14" t="s">
        <v>16</v>
      </c>
      <c r="G14">
        <v>4</v>
      </c>
      <c r="H14">
        <v>80</v>
      </c>
      <c r="I14">
        <v>0.1</v>
      </c>
      <c r="J14">
        <v>45</v>
      </c>
      <c r="K14">
        <v>288</v>
      </c>
      <c r="L14">
        <v>108</v>
      </c>
      <c r="M14">
        <v>2026</v>
      </c>
      <c r="N14">
        <v>1</v>
      </c>
      <c r="O14" t="s">
        <v>122</v>
      </c>
      <c r="P14" t="s">
        <v>105</v>
      </c>
      <c r="Q14" t="s">
        <v>123</v>
      </c>
    </row>
    <row r="15" spans="1:17" x14ac:dyDescent="0.3">
      <c r="A15">
        <v>46047</v>
      </c>
      <c r="B15" t="s">
        <v>56</v>
      </c>
      <c r="C15" t="s">
        <v>27</v>
      </c>
      <c r="D15" t="s">
        <v>57</v>
      </c>
      <c r="E15" t="s">
        <v>34</v>
      </c>
      <c r="F15" t="s">
        <v>20</v>
      </c>
      <c r="G15">
        <v>8</v>
      </c>
      <c r="H15">
        <v>35</v>
      </c>
      <c r="I15">
        <v>0</v>
      </c>
      <c r="J15">
        <v>18</v>
      </c>
      <c r="K15">
        <v>280</v>
      </c>
      <c r="L15">
        <v>136</v>
      </c>
      <c r="M15">
        <v>2026</v>
      </c>
      <c r="N15">
        <v>1</v>
      </c>
      <c r="O15" t="s">
        <v>122</v>
      </c>
      <c r="P15" t="s">
        <v>105</v>
      </c>
      <c r="Q15" t="s">
        <v>123</v>
      </c>
    </row>
    <row r="16" spans="1:17" x14ac:dyDescent="0.3">
      <c r="A16">
        <v>46049</v>
      </c>
      <c r="B16" t="s">
        <v>58</v>
      </c>
      <c r="C16" t="s">
        <v>32</v>
      </c>
      <c r="D16" t="s">
        <v>14</v>
      </c>
      <c r="E16" t="s">
        <v>15</v>
      </c>
      <c r="F16" t="s">
        <v>25</v>
      </c>
      <c r="G16">
        <v>1</v>
      </c>
      <c r="H16">
        <v>1200</v>
      </c>
      <c r="I16">
        <v>0</v>
      </c>
      <c r="J16">
        <v>850</v>
      </c>
      <c r="K16">
        <v>1200</v>
      </c>
      <c r="L16">
        <v>350</v>
      </c>
      <c r="M16">
        <v>2026</v>
      </c>
      <c r="N16">
        <v>1</v>
      </c>
      <c r="O16" t="s">
        <v>122</v>
      </c>
      <c r="P16" t="s">
        <v>105</v>
      </c>
      <c r="Q16" t="s">
        <v>123</v>
      </c>
    </row>
    <row r="17" spans="1:17" x14ac:dyDescent="0.3">
      <c r="A17">
        <v>46055</v>
      </c>
      <c r="B17" t="s">
        <v>59</v>
      </c>
      <c r="C17" t="s">
        <v>36</v>
      </c>
      <c r="D17" t="s">
        <v>19</v>
      </c>
      <c r="E17" t="s">
        <v>15</v>
      </c>
      <c r="F17" t="s">
        <v>30</v>
      </c>
      <c r="G17">
        <v>10</v>
      </c>
      <c r="H17">
        <v>25</v>
      </c>
      <c r="I17">
        <v>0.1</v>
      </c>
      <c r="J17">
        <v>15</v>
      </c>
      <c r="K17">
        <v>225</v>
      </c>
      <c r="L17">
        <v>75</v>
      </c>
      <c r="M17">
        <v>2026</v>
      </c>
      <c r="N17">
        <v>2</v>
      </c>
      <c r="O17" t="s">
        <v>124</v>
      </c>
      <c r="P17" t="s">
        <v>105</v>
      </c>
      <c r="Q17" t="s">
        <v>125</v>
      </c>
    </row>
    <row r="18" spans="1:17" x14ac:dyDescent="0.3">
      <c r="A18">
        <v>46114</v>
      </c>
      <c r="B18" t="s">
        <v>60</v>
      </c>
      <c r="C18" t="s">
        <v>39</v>
      </c>
      <c r="D18" t="s">
        <v>23</v>
      </c>
      <c r="E18" t="s">
        <v>24</v>
      </c>
      <c r="F18" t="s">
        <v>16</v>
      </c>
      <c r="G18">
        <v>4</v>
      </c>
      <c r="H18">
        <v>150</v>
      </c>
      <c r="I18">
        <v>0</v>
      </c>
      <c r="J18">
        <v>100</v>
      </c>
      <c r="K18">
        <v>600</v>
      </c>
      <c r="L18">
        <v>200</v>
      </c>
      <c r="M18">
        <v>2026</v>
      </c>
      <c r="N18">
        <v>4</v>
      </c>
      <c r="O18" t="s">
        <v>107</v>
      </c>
      <c r="P18" t="s">
        <v>108</v>
      </c>
      <c r="Q18" t="s">
        <v>109</v>
      </c>
    </row>
    <row r="19" spans="1:17" x14ac:dyDescent="0.3">
      <c r="A19">
        <v>46175</v>
      </c>
      <c r="B19" t="s">
        <v>61</v>
      </c>
      <c r="C19" t="s">
        <v>42</v>
      </c>
      <c r="D19" t="s">
        <v>28</v>
      </c>
      <c r="E19" t="s">
        <v>29</v>
      </c>
      <c r="F19" t="s">
        <v>20</v>
      </c>
      <c r="G19">
        <v>12</v>
      </c>
      <c r="H19">
        <v>15</v>
      </c>
      <c r="I19">
        <v>0.05</v>
      </c>
      <c r="J19">
        <v>8</v>
      </c>
      <c r="K19">
        <v>171</v>
      </c>
      <c r="L19">
        <v>75</v>
      </c>
      <c r="M19">
        <v>2026</v>
      </c>
      <c r="N19">
        <v>6</v>
      </c>
      <c r="O19" t="s">
        <v>112</v>
      </c>
      <c r="P19" t="s">
        <v>108</v>
      </c>
      <c r="Q19" t="s">
        <v>113</v>
      </c>
    </row>
    <row r="20" spans="1:17" x14ac:dyDescent="0.3">
      <c r="A20">
        <v>46236</v>
      </c>
      <c r="B20" t="s">
        <v>62</v>
      </c>
      <c r="C20" t="s">
        <v>45</v>
      </c>
      <c r="D20" t="s">
        <v>33</v>
      </c>
      <c r="E20" t="s">
        <v>34</v>
      </c>
      <c r="F20" t="s">
        <v>25</v>
      </c>
      <c r="G20">
        <v>25</v>
      </c>
      <c r="H20">
        <v>5</v>
      </c>
      <c r="I20">
        <v>0</v>
      </c>
      <c r="J20">
        <v>2.5</v>
      </c>
      <c r="K20">
        <v>125</v>
      </c>
      <c r="L20">
        <v>62.5</v>
      </c>
      <c r="M20">
        <v>2026</v>
      </c>
      <c r="N20">
        <v>8</v>
      </c>
      <c r="O20" t="s">
        <v>114</v>
      </c>
      <c r="P20" t="s">
        <v>115</v>
      </c>
      <c r="Q20" t="s">
        <v>116</v>
      </c>
    </row>
    <row r="21" spans="1:17" x14ac:dyDescent="0.3">
      <c r="A21">
        <v>46297</v>
      </c>
      <c r="B21" t="s">
        <v>63</v>
      </c>
      <c r="C21" t="s">
        <v>48</v>
      </c>
      <c r="D21" t="s">
        <v>37</v>
      </c>
      <c r="E21" t="s">
        <v>15</v>
      </c>
      <c r="F21" t="s">
        <v>30</v>
      </c>
      <c r="G21">
        <v>6</v>
      </c>
      <c r="H21">
        <v>45</v>
      </c>
      <c r="I21">
        <v>0</v>
      </c>
      <c r="J21">
        <v>28</v>
      </c>
      <c r="K21">
        <v>270</v>
      </c>
      <c r="L21">
        <v>102</v>
      </c>
      <c r="M21">
        <v>2026</v>
      </c>
      <c r="N21">
        <v>10</v>
      </c>
      <c r="O21" t="s">
        <v>117</v>
      </c>
      <c r="P21" t="s">
        <v>118</v>
      </c>
      <c r="Q21" t="s">
        <v>119</v>
      </c>
    </row>
    <row r="22" spans="1:17" x14ac:dyDescent="0.3">
      <c r="A22">
        <v>46358</v>
      </c>
      <c r="B22" t="s">
        <v>64</v>
      </c>
      <c r="C22" t="s">
        <v>13</v>
      </c>
      <c r="D22" t="s">
        <v>40</v>
      </c>
      <c r="E22" t="s">
        <v>24</v>
      </c>
      <c r="F22" t="s">
        <v>16</v>
      </c>
      <c r="G22">
        <v>1</v>
      </c>
      <c r="H22">
        <v>220</v>
      </c>
      <c r="I22">
        <v>0</v>
      </c>
      <c r="J22">
        <v>150</v>
      </c>
      <c r="K22">
        <v>220</v>
      </c>
      <c r="L22">
        <v>70</v>
      </c>
      <c r="M22">
        <v>2026</v>
      </c>
      <c r="N22">
        <v>12</v>
      </c>
      <c r="O22" t="s">
        <v>120</v>
      </c>
      <c r="P22" t="s">
        <v>118</v>
      </c>
      <c r="Q22" t="s">
        <v>121</v>
      </c>
    </row>
    <row r="23" spans="1:17" x14ac:dyDescent="0.3">
      <c r="A23">
        <v>46067</v>
      </c>
      <c r="B23" t="s">
        <v>65</v>
      </c>
      <c r="C23" t="s">
        <v>18</v>
      </c>
      <c r="D23" t="s">
        <v>43</v>
      </c>
      <c r="E23" t="s">
        <v>29</v>
      </c>
      <c r="F23" t="s">
        <v>20</v>
      </c>
      <c r="G23">
        <v>5</v>
      </c>
      <c r="H23">
        <v>40</v>
      </c>
      <c r="I23">
        <v>0.1</v>
      </c>
      <c r="J23">
        <v>22</v>
      </c>
      <c r="K23">
        <v>180</v>
      </c>
      <c r="L23">
        <v>70</v>
      </c>
      <c r="M23">
        <v>2026</v>
      </c>
      <c r="N23">
        <v>2</v>
      </c>
      <c r="O23" t="s">
        <v>124</v>
      </c>
      <c r="P23" t="s">
        <v>105</v>
      </c>
      <c r="Q23" t="s">
        <v>125</v>
      </c>
    </row>
    <row r="24" spans="1:17" x14ac:dyDescent="0.3">
      <c r="A24">
        <v>46069</v>
      </c>
      <c r="B24" t="s">
        <v>66</v>
      </c>
      <c r="C24" t="s">
        <v>22</v>
      </c>
      <c r="D24" t="s">
        <v>46</v>
      </c>
      <c r="E24" t="s">
        <v>15</v>
      </c>
      <c r="F24" t="s">
        <v>25</v>
      </c>
      <c r="G24">
        <v>2</v>
      </c>
      <c r="H24">
        <v>180</v>
      </c>
      <c r="I24">
        <v>0.05</v>
      </c>
      <c r="J24">
        <v>120</v>
      </c>
      <c r="K24">
        <v>342</v>
      </c>
      <c r="L24">
        <v>102</v>
      </c>
      <c r="M24">
        <v>2026</v>
      </c>
      <c r="N24">
        <v>2</v>
      </c>
      <c r="O24" t="s">
        <v>124</v>
      </c>
      <c r="P24" t="s">
        <v>105</v>
      </c>
      <c r="Q24" t="s">
        <v>125</v>
      </c>
    </row>
    <row r="25" spans="1:17" x14ac:dyDescent="0.3">
      <c r="A25">
        <v>46071</v>
      </c>
      <c r="B25" t="s">
        <v>67</v>
      </c>
      <c r="C25" t="s">
        <v>27</v>
      </c>
      <c r="D25" t="s">
        <v>49</v>
      </c>
      <c r="E25" t="s">
        <v>34</v>
      </c>
      <c r="F25" t="s">
        <v>30</v>
      </c>
      <c r="G25">
        <v>18</v>
      </c>
      <c r="H25">
        <v>10</v>
      </c>
      <c r="I25">
        <v>0</v>
      </c>
      <c r="J25">
        <v>5</v>
      </c>
      <c r="K25">
        <v>180</v>
      </c>
      <c r="L25">
        <v>90</v>
      </c>
      <c r="M25">
        <v>2026</v>
      </c>
      <c r="N25">
        <v>2</v>
      </c>
      <c r="O25" t="s">
        <v>124</v>
      </c>
      <c r="P25" t="s">
        <v>105</v>
      </c>
      <c r="Q25" t="s">
        <v>125</v>
      </c>
    </row>
    <row r="26" spans="1:17" x14ac:dyDescent="0.3">
      <c r="A26">
        <v>46073</v>
      </c>
      <c r="B26" t="s">
        <v>68</v>
      </c>
      <c r="C26" t="s">
        <v>32</v>
      </c>
      <c r="D26" t="s">
        <v>51</v>
      </c>
      <c r="E26" t="s">
        <v>15</v>
      </c>
      <c r="F26" t="s">
        <v>16</v>
      </c>
      <c r="G26">
        <v>3</v>
      </c>
      <c r="H26">
        <v>60</v>
      </c>
      <c r="I26">
        <v>0</v>
      </c>
      <c r="J26">
        <v>35</v>
      </c>
      <c r="K26">
        <v>180</v>
      </c>
      <c r="L26">
        <v>75</v>
      </c>
      <c r="M26">
        <v>2026</v>
      </c>
      <c r="N26">
        <v>2</v>
      </c>
      <c r="O26" t="s">
        <v>124</v>
      </c>
      <c r="P26" t="s">
        <v>105</v>
      </c>
      <c r="Q26" t="s">
        <v>125</v>
      </c>
    </row>
    <row r="27" spans="1:17" x14ac:dyDescent="0.3">
      <c r="A27">
        <v>46075</v>
      </c>
      <c r="B27" t="s">
        <v>69</v>
      </c>
      <c r="C27" t="s">
        <v>36</v>
      </c>
      <c r="D27" t="s">
        <v>53</v>
      </c>
      <c r="E27" t="s">
        <v>24</v>
      </c>
      <c r="F27" t="s">
        <v>20</v>
      </c>
      <c r="G27">
        <v>3</v>
      </c>
      <c r="H27">
        <v>95</v>
      </c>
      <c r="I27">
        <v>0.05</v>
      </c>
      <c r="J27">
        <v>60</v>
      </c>
      <c r="K27">
        <v>270.75</v>
      </c>
      <c r="L27">
        <v>90.75</v>
      </c>
      <c r="M27">
        <v>2026</v>
      </c>
      <c r="N27">
        <v>2</v>
      </c>
      <c r="O27" t="s">
        <v>124</v>
      </c>
      <c r="P27" t="s">
        <v>105</v>
      </c>
      <c r="Q27" t="s">
        <v>125</v>
      </c>
    </row>
    <row r="28" spans="1:17" x14ac:dyDescent="0.3">
      <c r="A28">
        <v>46077</v>
      </c>
      <c r="B28" t="s">
        <v>70</v>
      </c>
      <c r="C28" t="s">
        <v>39</v>
      </c>
      <c r="D28" t="s">
        <v>55</v>
      </c>
      <c r="E28" t="s">
        <v>29</v>
      </c>
      <c r="F28" t="s">
        <v>25</v>
      </c>
      <c r="G28">
        <v>2</v>
      </c>
      <c r="H28">
        <v>80</v>
      </c>
      <c r="I28">
        <v>0</v>
      </c>
      <c r="J28">
        <v>45</v>
      </c>
      <c r="K28">
        <v>160</v>
      </c>
      <c r="L28">
        <v>70</v>
      </c>
      <c r="M28">
        <v>2026</v>
      </c>
      <c r="N28">
        <v>2</v>
      </c>
      <c r="O28" t="s">
        <v>124</v>
      </c>
      <c r="P28" t="s">
        <v>105</v>
      </c>
      <c r="Q28" t="s">
        <v>125</v>
      </c>
    </row>
    <row r="29" spans="1:17" x14ac:dyDescent="0.3">
      <c r="A29">
        <v>46025</v>
      </c>
      <c r="B29" t="s">
        <v>71</v>
      </c>
      <c r="C29" t="s">
        <v>42</v>
      </c>
      <c r="D29" t="s">
        <v>57</v>
      </c>
      <c r="E29" t="s">
        <v>34</v>
      </c>
      <c r="F29" t="s">
        <v>30</v>
      </c>
      <c r="G29">
        <v>10</v>
      </c>
      <c r="H29">
        <v>35</v>
      </c>
      <c r="I29">
        <v>0.1</v>
      </c>
      <c r="J29">
        <v>18</v>
      </c>
      <c r="K29">
        <v>315</v>
      </c>
      <c r="L29">
        <v>135</v>
      </c>
      <c r="M29">
        <v>2026</v>
      </c>
      <c r="N29">
        <v>1</v>
      </c>
      <c r="O29" t="s">
        <v>122</v>
      </c>
      <c r="P29" t="s">
        <v>105</v>
      </c>
      <c r="Q29" t="s">
        <v>123</v>
      </c>
    </row>
    <row r="30" spans="1:17" x14ac:dyDescent="0.3">
      <c r="A30">
        <v>46084</v>
      </c>
      <c r="B30" t="s">
        <v>72</v>
      </c>
      <c r="C30" t="s">
        <v>45</v>
      </c>
      <c r="D30" t="s">
        <v>14</v>
      </c>
      <c r="E30" t="s">
        <v>15</v>
      </c>
      <c r="F30" t="s">
        <v>16</v>
      </c>
      <c r="G30">
        <v>2</v>
      </c>
      <c r="H30">
        <v>1200</v>
      </c>
      <c r="I30">
        <v>0.05</v>
      </c>
      <c r="J30">
        <v>850</v>
      </c>
      <c r="K30">
        <v>2280</v>
      </c>
      <c r="L30">
        <v>580</v>
      </c>
      <c r="M30">
        <v>2026</v>
      </c>
      <c r="N30">
        <v>3</v>
      </c>
      <c r="O30" t="s">
        <v>104</v>
      </c>
      <c r="P30" t="s">
        <v>105</v>
      </c>
      <c r="Q30" t="s">
        <v>106</v>
      </c>
    </row>
    <row r="31" spans="1:17" x14ac:dyDescent="0.3">
      <c r="A31">
        <v>46145</v>
      </c>
      <c r="B31" t="s">
        <v>73</v>
      </c>
      <c r="C31" t="s">
        <v>48</v>
      </c>
      <c r="D31" t="s">
        <v>19</v>
      </c>
      <c r="E31" t="s">
        <v>15</v>
      </c>
      <c r="F31" t="s">
        <v>20</v>
      </c>
      <c r="G31">
        <v>8</v>
      </c>
      <c r="H31">
        <v>25</v>
      </c>
      <c r="I31">
        <v>0</v>
      </c>
      <c r="J31">
        <v>15</v>
      </c>
      <c r="K31">
        <v>200</v>
      </c>
      <c r="L31">
        <v>80</v>
      </c>
      <c r="M31">
        <v>2026</v>
      </c>
      <c r="N31">
        <v>5</v>
      </c>
      <c r="O31" t="s">
        <v>110</v>
      </c>
      <c r="P31" t="s">
        <v>108</v>
      </c>
      <c r="Q31" t="s">
        <v>111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57FFF-FF38-4213-9DCA-BDDADD88257F}">
  <sheetPr codeName="Sheet4"/>
  <dimension ref="A1:B7"/>
  <sheetViews>
    <sheetView workbookViewId="0">
      <selection activeCell="B11" sqref="B11"/>
    </sheetView>
  </sheetViews>
  <sheetFormatPr defaultRowHeight="14.4" x14ac:dyDescent="0.3"/>
  <cols>
    <col min="1" max="1" width="23.5546875" customWidth="1"/>
    <col min="2" max="2" width="23.109375" customWidth="1"/>
  </cols>
  <sheetData>
    <row r="1" spans="1:2" x14ac:dyDescent="0.3">
      <c r="A1" s="7" t="s">
        <v>88</v>
      </c>
    </row>
    <row r="2" spans="1:2" x14ac:dyDescent="0.3">
      <c r="A2" s="43" t="s">
        <v>89</v>
      </c>
      <c r="B2" s="44">
        <f>SUM(tblCleanData[Sales])</f>
        <v>12360.25</v>
      </c>
    </row>
    <row r="3" spans="1:2" x14ac:dyDescent="0.3">
      <c r="A3" s="43" t="s">
        <v>90</v>
      </c>
      <c r="B3" s="44">
        <f>SUM(tblCleanData[Profit])</f>
        <v>3865.75</v>
      </c>
    </row>
    <row r="4" spans="1:2" x14ac:dyDescent="0.3">
      <c r="A4" s="43" t="s">
        <v>91</v>
      </c>
      <c r="B4" s="45">
        <f>COUNTA(tblCleanData[Order ID])</f>
        <v>30</v>
      </c>
    </row>
    <row r="5" spans="1:2" x14ac:dyDescent="0.3">
      <c r="A5" s="43" t="s">
        <v>92</v>
      </c>
      <c r="B5" s="45">
        <f>SUM(tblCleanData[Quantity])</f>
        <v>201</v>
      </c>
    </row>
    <row r="6" spans="1:2" x14ac:dyDescent="0.3">
      <c r="A6" s="43" t="s">
        <v>93</v>
      </c>
      <c r="B6" s="44">
        <f>B2/B4</f>
        <v>412.00833333333333</v>
      </c>
    </row>
    <row r="7" spans="1:2" x14ac:dyDescent="0.3">
      <c r="A7" s="46"/>
      <c r="B7" s="4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411D3-E4EE-4D60-B465-F1693E526D83}">
  <sheetPr codeName="Sheet5"/>
  <dimension ref="A1:H40"/>
  <sheetViews>
    <sheetView workbookViewId="0"/>
  </sheetViews>
  <sheetFormatPr defaultRowHeight="14.4" x14ac:dyDescent="0.3"/>
  <cols>
    <col min="1" max="1" width="13.77734375" customWidth="1"/>
    <col min="2" max="2" width="11.5546875" customWidth="1"/>
    <col min="4" max="4" width="10.77734375" bestFit="1" customWidth="1"/>
    <col min="5" max="5" width="13.6640625" customWidth="1"/>
    <col min="7" max="7" width="11.109375" bestFit="1" customWidth="1"/>
    <col min="8" max="8" width="11.6640625" bestFit="1" customWidth="1"/>
    <col min="10" max="10" width="11.6640625" bestFit="1" customWidth="1"/>
  </cols>
  <sheetData>
    <row r="1" spans="1:8" x14ac:dyDescent="0.3">
      <c r="A1" s="7" t="s">
        <v>94</v>
      </c>
    </row>
    <row r="4" spans="1:8" x14ac:dyDescent="0.3">
      <c r="A4" s="8" t="s">
        <v>5</v>
      </c>
      <c r="B4" t="s">
        <v>96</v>
      </c>
      <c r="D4" s="8" t="s">
        <v>5</v>
      </c>
      <c r="E4" t="s">
        <v>97</v>
      </c>
      <c r="G4" s="8" t="s">
        <v>3</v>
      </c>
      <c r="H4" t="s">
        <v>96</v>
      </c>
    </row>
    <row r="5" spans="1:8" x14ac:dyDescent="0.3">
      <c r="A5" s="5" t="s">
        <v>25</v>
      </c>
      <c r="B5" s="9">
        <v>2979.5</v>
      </c>
      <c r="D5" s="5" t="s">
        <v>25</v>
      </c>
      <c r="E5" s="9">
        <v>962</v>
      </c>
      <c r="G5" s="5" t="s">
        <v>57</v>
      </c>
      <c r="H5" s="9">
        <v>595</v>
      </c>
    </row>
    <row r="6" spans="1:8" x14ac:dyDescent="0.3">
      <c r="A6" s="5" t="s">
        <v>16</v>
      </c>
      <c r="B6" s="9">
        <v>6314</v>
      </c>
      <c r="D6" s="5" t="s">
        <v>16</v>
      </c>
      <c r="E6" s="9">
        <v>1669</v>
      </c>
      <c r="G6" s="5" t="s">
        <v>53</v>
      </c>
      <c r="H6" s="9">
        <v>460.75</v>
      </c>
    </row>
    <row r="7" spans="1:8" x14ac:dyDescent="0.3">
      <c r="A7" s="5" t="s">
        <v>20</v>
      </c>
      <c r="B7" s="9">
        <v>1547.75</v>
      </c>
      <c r="D7" s="5" t="s">
        <v>20</v>
      </c>
      <c r="E7" s="9">
        <v>635.75</v>
      </c>
      <c r="G7" s="5" t="s">
        <v>40</v>
      </c>
      <c r="H7" s="9">
        <v>660</v>
      </c>
    </row>
    <row r="8" spans="1:8" x14ac:dyDescent="0.3">
      <c r="A8" s="5" t="s">
        <v>30</v>
      </c>
      <c r="B8" s="9">
        <v>1519</v>
      </c>
      <c r="D8" s="5" t="s">
        <v>30</v>
      </c>
      <c r="E8" s="9">
        <v>599</v>
      </c>
      <c r="G8" s="5" t="s">
        <v>98</v>
      </c>
      <c r="H8" s="9"/>
    </row>
    <row r="9" spans="1:8" x14ac:dyDescent="0.3">
      <c r="A9" s="5" t="s">
        <v>95</v>
      </c>
      <c r="B9" s="9">
        <v>12360.25</v>
      </c>
      <c r="D9" s="5" t="s">
        <v>95</v>
      </c>
      <c r="E9" s="9">
        <v>3865.75</v>
      </c>
      <c r="G9" s="5" t="s">
        <v>51</v>
      </c>
      <c r="H9" s="9">
        <v>465</v>
      </c>
    </row>
    <row r="10" spans="1:8" x14ac:dyDescent="0.3">
      <c r="G10" s="5" t="s">
        <v>55</v>
      </c>
      <c r="H10" s="9">
        <v>448</v>
      </c>
    </row>
    <row r="11" spans="1:8" x14ac:dyDescent="0.3">
      <c r="G11" s="5" t="s">
        <v>43</v>
      </c>
      <c r="H11" s="9">
        <v>384</v>
      </c>
    </row>
    <row r="12" spans="1:8" x14ac:dyDescent="0.3">
      <c r="G12" s="5" t="s">
        <v>37</v>
      </c>
      <c r="H12" s="9">
        <v>441</v>
      </c>
    </row>
    <row r="13" spans="1:8" x14ac:dyDescent="0.3">
      <c r="G13" s="5" t="s">
        <v>14</v>
      </c>
      <c r="H13" s="9">
        <v>5640</v>
      </c>
    </row>
    <row r="14" spans="1:8" x14ac:dyDescent="0.3">
      <c r="G14" s="5" t="s">
        <v>46</v>
      </c>
      <c r="H14" s="9">
        <v>828</v>
      </c>
    </row>
    <row r="15" spans="1:8" x14ac:dyDescent="0.3">
      <c r="A15" s="8" t="s">
        <v>4</v>
      </c>
      <c r="B15" t="s">
        <v>133</v>
      </c>
      <c r="D15" s="8" t="s">
        <v>4</v>
      </c>
      <c r="E15" t="s">
        <v>134</v>
      </c>
      <c r="G15" s="5" t="s">
        <v>19</v>
      </c>
      <c r="H15" s="9">
        <v>550</v>
      </c>
    </row>
    <row r="16" spans="1:8" x14ac:dyDescent="0.3">
      <c r="A16" s="5" t="s">
        <v>29</v>
      </c>
      <c r="B16" s="9">
        <v>1138</v>
      </c>
      <c r="D16" s="5" t="s">
        <v>29</v>
      </c>
      <c r="E16" s="9">
        <v>450</v>
      </c>
      <c r="G16" s="5" t="s">
        <v>33</v>
      </c>
      <c r="H16" s="9">
        <v>225</v>
      </c>
    </row>
    <row r="17" spans="1:8" x14ac:dyDescent="0.3">
      <c r="A17" s="5" t="s">
        <v>15</v>
      </c>
      <c r="B17" s="9">
        <v>7924</v>
      </c>
      <c r="D17" s="5" t="s">
        <v>15</v>
      </c>
      <c r="E17" s="9">
        <v>2169</v>
      </c>
      <c r="G17" s="5" t="s">
        <v>23</v>
      </c>
      <c r="H17" s="9">
        <v>1027.5</v>
      </c>
    </row>
    <row r="18" spans="1:8" x14ac:dyDescent="0.3">
      <c r="A18" s="5" t="s">
        <v>24</v>
      </c>
      <c r="B18" s="9">
        <v>2148.25</v>
      </c>
      <c r="D18" s="5" t="s">
        <v>24</v>
      </c>
      <c r="E18" s="9">
        <v>698.25</v>
      </c>
      <c r="G18" s="5" t="s">
        <v>49</v>
      </c>
      <c r="H18" s="9">
        <v>330</v>
      </c>
    </row>
    <row r="19" spans="1:8" x14ac:dyDescent="0.3">
      <c r="A19" s="5" t="s">
        <v>34</v>
      </c>
      <c r="B19" s="9">
        <v>1150</v>
      </c>
      <c r="D19" s="5" t="s">
        <v>34</v>
      </c>
      <c r="E19" s="9">
        <v>548.5</v>
      </c>
      <c r="G19" s="5" t="s">
        <v>28</v>
      </c>
      <c r="H19" s="9">
        <v>306</v>
      </c>
    </row>
    <row r="20" spans="1:8" x14ac:dyDescent="0.3">
      <c r="A20" s="5" t="s">
        <v>95</v>
      </c>
      <c r="B20" s="9">
        <v>12360.25</v>
      </c>
      <c r="D20" s="5" t="s">
        <v>95</v>
      </c>
      <c r="E20" s="9">
        <v>3865.75</v>
      </c>
      <c r="G20" s="5" t="s">
        <v>95</v>
      </c>
      <c r="H20" s="9">
        <v>12360.25</v>
      </c>
    </row>
    <row r="24" spans="1:8" x14ac:dyDescent="0.3">
      <c r="A24" s="8" t="s">
        <v>103</v>
      </c>
      <c r="B24" t="s">
        <v>133</v>
      </c>
      <c r="D24" s="8" t="s">
        <v>103</v>
      </c>
      <c r="E24" t="s">
        <v>97</v>
      </c>
      <c r="G24" s="8" t="s">
        <v>3</v>
      </c>
      <c r="H24" t="s">
        <v>135</v>
      </c>
    </row>
    <row r="25" spans="1:8" x14ac:dyDescent="0.3">
      <c r="A25" s="5" t="s">
        <v>123</v>
      </c>
      <c r="B25" s="9">
        <v>3398</v>
      </c>
      <c r="D25" s="5" t="s">
        <v>123</v>
      </c>
      <c r="E25" s="9">
        <v>1182</v>
      </c>
      <c r="G25" s="5" t="s">
        <v>57</v>
      </c>
      <c r="H25" s="9">
        <v>18</v>
      </c>
    </row>
    <row r="26" spans="1:8" x14ac:dyDescent="0.3">
      <c r="A26" s="5" t="s">
        <v>125</v>
      </c>
      <c r="B26" s="9">
        <v>1537.75</v>
      </c>
      <c r="D26" s="5" t="s">
        <v>125</v>
      </c>
      <c r="E26" s="9">
        <v>572.75</v>
      </c>
      <c r="G26" s="5" t="s">
        <v>53</v>
      </c>
      <c r="H26" s="9">
        <v>5</v>
      </c>
    </row>
    <row r="27" spans="1:8" x14ac:dyDescent="0.3">
      <c r="A27" s="5" t="s">
        <v>106</v>
      </c>
      <c r="B27" s="9">
        <v>4440</v>
      </c>
      <c r="D27" s="5" t="s">
        <v>106</v>
      </c>
      <c r="E27" s="9">
        <v>1040</v>
      </c>
      <c r="G27" s="5" t="s">
        <v>40</v>
      </c>
      <c r="H27" s="9">
        <v>3</v>
      </c>
    </row>
    <row r="28" spans="1:8" x14ac:dyDescent="0.3">
      <c r="A28" s="5" t="s">
        <v>109</v>
      </c>
      <c r="B28" s="9">
        <v>725</v>
      </c>
      <c r="D28" s="5" t="s">
        <v>109</v>
      </c>
      <c r="E28" s="9">
        <v>250</v>
      </c>
      <c r="G28" s="5" t="s">
        <v>98</v>
      </c>
      <c r="H28" s="9"/>
    </row>
    <row r="29" spans="1:8" x14ac:dyDescent="0.3">
      <c r="A29" s="5" t="s">
        <v>111</v>
      </c>
      <c r="B29" s="9">
        <v>627.5</v>
      </c>
      <c r="D29" s="5" t="s">
        <v>111</v>
      </c>
      <c r="E29" s="9">
        <v>207.5</v>
      </c>
      <c r="G29" s="5" t="s">
        <v>51</v>
      </c>
      <c r="H29" s="9">
        <v>8</v>
      </c>
    </row>
    <row r="30" spans="1:8" x14ac:dyDescent="0.3">
      <c r="A30" s="5" t="s">
        <v>113</v>
      </c>
      <c r="B30" s="9">
        <v>306</v>
      </c>
      <c r="D30" s="5" t="s">
        <v>113</v>
      </c>
      <c r="E30" s="9">
        <v>130</v>
      </c>
      <c r="G30" s="5" t="s">
        <v>55</v>
      </c>
      <c r="H30" s="9">
        <v>6</v>
      </c>
    </row>
    <row r="31" spans="1:8" x14ac:dyDescent="0.3">
      <c r="A31" s="5" t="s">
        <v>116</v>
      </c>
      <c r="B31" s="9">
        <v>225</v>
      </c>
      <c r="D31" s="5" t="s">
        <v>116</v>
      </c>
      <c r="E31" s="9">
        <v>112.5</v>
      </c>
      <c r="G31" s="5" t="s">
        <v>43</v>
      </c>
      <c r="H31" s="9">
        <v>11</v>
      </c>
    </row>
    <row r="32" spans="1:8" x14ac:dyDescent="0.3">
      <c r="A32" s="5" t="s">
        <v>119</v>
      </c>
      <c r="B32" s="9">
        <v>441</v>
      </c>
      <c r="D32" s="5" t="s">
        <v>119</v>
      </c>
      <c r="E32" s="9">
        <v>161</v>
      </c>
      <c r="G32" s="5" t="s">
        <v>37</v>
      </c>
      <c r="H32" s="9">
        <v>10</v>
      </c>
    </row>
    <row r="33" spans="1:8" x14ac:dyDescent="0.3">
      <c r="A33" s="5" t="s">
        <v>121</v>
      </c>
      <c r="B33" s="9">
        <v>660</v>
      </c>
      <c r="D33" s="5" t="s">
        <v>121</v>
      </c>
      <c r="E33" s="9">
        <v>210</v>
      </c>
      <c r="G33" s="5" t="s">
        <v>14</v>
      </c>
      <c r="H33" s="9">
        <v>5</v>
      </c>
    </row>
    <row r="34" spans="1:8" x14ac:dyDescent="0.3">
      <c r="A34" s="5" t="s">
        <v>95</v>
      </c>
      <c r="B34" s="9">
        <v>12360.25</v>
      </c>
      <c r="D34" s="5" t="s">
        <v>95</v>
      </c>
      <c r="E34" s="9">
        <v>3865.75</v>
      </c>
      <c r="G34" s="5" t="s">
        <v>46</v>
      </c>
      <c r="H34" s="9">
        <v>5</v>
      </c>
    </row>
    <row r="35" spans="1:8" x14ac:dyDescent="0.3">
      <c r="G35" s="5" t="s">
        <v>19</v>
      </c>
      <c r="H35" s="9">
        <v>23</v>
      </c>
    </row>
    <row r="36" spans="1:8" x14ac:dyDescent="0.3">
      <c r="G36" s="5" t="s">
        <v>33</v>
      </c>
      <c r="H36" s="9">
        <v>45</v>
      </c>
    </row>
    <row r="37" spans="1:8" x14ac:dyDescent="0.3">
      <c r="G37" s="5" t="s">
        <v>23</v>
      </c>
      <c r="H37" s="9">
        <v>7</v>
      </c>
    </row>
    <row r="38" spans="1:8" x14ac:dyDescent="0.3">
      <c r="G38" s="5" t="s">
        <v>49</v>
      </c>
      <c r="H38" s="9">
        <v>33</v>
      </c>
    </row>
    <row r="39" spans="1:8" x14ac:dyDescent="0.3">
      <c r="G39" s="5" t="s">
        <v>28</v>
      </c>
      <c r="H39" s="9">
        <v>22</v>
      </c>
    </row>
    <row r="40" spans="1:8" x14ac:dyDescent="0.3">
      <c r="G40" s="5" t="s">
        <v>95</v>
      </c>
      <c r="H40" s="9">
        <v>201</v>
      </c>
    </row>
  </sheetData>
  <pageMargins left="0.7" right="0.7" top="0.75" bottom="0.75" header="0.3" footer="0.3"/>
  <pageSetup orientation="portrait" r:id="rId9"/>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F6F80-12D3-466C-AE79-60BC09177E35}">
  <sheetPr codeName="Sheet6"/>
  <dimension ref="A1:O7"/>
  <sheetViews>
    <sheetView showGridLines="0" tabSelected="1" topLeftCell="A7" zoomScale="70" zoomScaleNormal="70" workbookViewId="0">
      <selection activeCell="S42" sqref="S42"/>
    </sheetView>
  </sheetViews>
  <sheetFormatPr defaultRowHeight="14.4" x14ac:dyDescent="0.3"/>
  <cols>
    <col min="1" max="1" width="29.6640625" customWidth="1"/>
    <col min="2" max="2" width="30.44140625" customWidth="1"/>
  </cols>
  <sheetData>
    <row r="1" spans="1:15" ht="64.8" customHeight="1" x14ac:dyDescent="0.3">
      <c r="A1" s="11" t="s">
        <v>126</v>
      </c>
      <c r="B1" s="11"/>
      <c r="C1" s="11"/>
      <c r="D1" s="11"/>
      <c r="E1" s="11"/>
      <c r="F1" s="11"/>
      <c r="G1" s="11"/>
      <c r="H1" s="11"/>
      <c r="I1" s="11"/>
      <c r="J1" s="11"/>
      <c r="K1" s="11"/>
      <c r="L1" s="11"/>
      <c r="M1" s="11"/>
      <c r="N1" s="11"/>
      <c r="O1" s="11"/>
    </row>
    <row r="2" spans="1:15" ht="31.2" customHeight="1" x14ac:dyDescent="0.3">
      <c r="A2" s="39" t="s">
        <v>127</v>
      </c>
      <c r="B2" s="40"/>
      <c r="C2" s="40"/>
      <c r="D2" s="40"/>
      <c r="E2" s="40"/>
      <c r="F2" s="40"/>
      <c r="G2" s="40"/>
      <c r="H2" s="40"/>
      <c r="I2" s="40"/>
      <c r="J2" s="40"/>
      <c r="K2" s="40"/>
      <c r="L2" s="40"/>
      <c r="M2" s="40"/>
      <c r="N2" s="40"/>
      <c r="O2" s="40"/>
    </row>
    <row r="4" spans="1:15" x14ac:dyDescent="0.3">
      <c r="A4" s="12" t="s">
        <v>128</v>
      </c>
      <c r="B4" s="13"/>
      <c r="C4" s="14"/>
      <c r="D4" s="12" t="s">
        <v>129</v>
      </c>
      <c r="E4" s="13"/>
      <c r="F4" s="14"/>
      <c r="G4" s="12" t="s">
        <v>130</v>
      </c>
      <c r="H4" s="13"/>
      <c r="I4" s="14"/>
      <c r="J4" s="12" t="s">
        <v>131</v>
      </c>
      <c r="K4" s="13"/>
      <c r="L4" s="14"/>
      <c r="M4" s="12" t="s">
        <v>132</v>
      </c>
      <c r="N4" s="13"/>
      <c r="O4" s="14"/>
    </row>
    <row r="5" spans="1:15" ht="14.4" customHeight="1" x14ac:dyDescent="0.3">
      <c r="A5" s="33">
        <f>Calculations!B2</f>
        <v>12360.25</v>
      </c>
      <c r="B5" s="34"/>
      <c r="C5" s="35"/>
      <c r="D5" s="27">
        <v>3865.75</v>
      </c>
      <c r="E5" s="28"/>
      <c r="F5" s="29"/>
      <c r="G5" s="15">
        <v>30</v>
      </c>
      <c r="H5" s="16"/>
      <c r="I5" s="17"/>
      <c r="J5" s="15">
        <v>201</v>
      </c>
      <c r="K5" s="16"/>
      <c r="L5" s="17"/>
      <c r="M5" s="18">
        <v>412.01</v>
      </c>
      <c r="N5" s="19"/>
      <c r="O5" s="20"/>
    </row>
    <row r="6" spans="1:15" ht="15" customHeight="1" x14ac:dyDescent="0.3">
      <c r="A6" s="36"/>
      <c r="B6" s="37"/>
      <c r="C6" s="38"/>
      <c r="D6" s="30"/>
      <c r="E6" s="31"/>
      <c r="F6" s="32"/>
      <c r="G6" s="21"/>
      <c r="H6" s="22"/>
      <c r="I6" s="23"/>
      <c r="J6" s="21"/>
      <c r="K6" s="22"/>
      <c r="L6" s="23"/>
      <c r="M6" s="24"/>
      <c r="N6" s="25"/>
      <c r="O6" s="26"/>
    </row>
    <row r="7" spans="1:15" x14ac:dyDescent="0.3">
      <c r="A7" s="10"/>
      <c r="B7" s="10"/>
      <c r="C7" s="10"/>
    </row>
  </sheetData>
  <mergeCells count="12">
    <mergeCell ref="A1:O1"/>
    <mergeCell ref="A2:O2"/>
    <mergeCell ref="A4:C4"/>
    <mergeCell ref="A5:C6"/>
    <mergeCell ref="D4:F4"/>
    <mergeCell ref="D5:F6"/>
    <mergeCell ref="G4:I4"/>
    <mergeCell ref="G5:I6"/>
    <mergeCell ref="J4:L4"/>
    <mergeCell ref="J5:L6"/>
    <mergeCell ref="M4:O4"/>
    <mergeCell ref="M5:O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_Dashboard">
                <anchor moveWithCells="1" sizeWithCells="1">
                  <from>
                    <xdr:col>14</xdr:col>
                    <xdr:colOff>525780</xdr:colOff>
                    <xdr:row>20</xdr:row>
                    <xdr:rowOff>76200</xdr:rowOff>
                  </from>
                  <to>
                    <xdr:col>17</xdr:col>
                    <xdr:colOff>167640</xdr:colOff>
                    <xdr:row>23</xdr:row>
                    <xdr:rowOff>30480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CB5F52-09D2-452B-942B-35394DBC2C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Excel 4.0 Macros</vt:lpstr>
      </vt:variant>
      <vt:variant>
        <vt:i4>1</vt:i4>
      </vt:variant>
    </vt:vector>
  </HeadingPairs>
  <TitlesOfParts>
    <vt:vector size="7" baseType="lpstr">
      <vt:lpstr>README</vt:lpstr>
      <vt:lpstr>Raw_Data</vt:lpstr>
      <vt:lpstr>Clean_Data</vt:lpstr>
      <vt:lpstr>Calculations</vt:lpstr>
      <vt:lpstr>Pivot_Analysis</vt:lpstr>
      <vt:lpstr>Dashboard</vt:lpstr>
      <vt:lpstr>Macro1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acer</cp:lastModifiedBy>
  <dcterms:created xsi:type="dcterms:W3CDTF">2026-09-25T10:18:43Z</dcterms:created>
  <dcterms:modified xsi:type="dcterms:W3CDTF">2026-10-01T09:17:48Z</dcterms:modified>
</cp:coreProperties>
</file>